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talog" sheetId="2" state="visible" r:id="rId4"/>
    <sheet name="Applicability_Rules" sheetId="3" state="visible" r:id="rId5"/>
    <sheet name="Health_Score_Logic" sheetId="4" state="visible" r:id="rId6"/>
    <sheet name="Audit_Readiness_Checks" sheetId="5" state="visible" r:id="rId7"/>
    <sheet name="Categories" sheetId="6" state="visible" r:id="rId8"/>
    <sheet name="Document_Types" sheetId="7" state="visible" r:id="rId9"/>
  </sheets>
  <definedNames>
    <definedName function="false" hidden="true" localSheetId="2" name="_xlnm._FilterDatabase" vbProcedure="false">Applicability_Rules!$A$1:$F$54</definedName>
    <definedName function="false" hidden="true" localSheetId="4" name="_xlnm._FilterDatabase" vbProcedure="false">Audit_Readiness_Checks!$A$4:$F$34</definedName>
    <definedName function="false" hidden="true" localSheetId="1" name="_xlnm._FilterDatabase" vbProcedure="false">Catalog!$A$1:$K$54</definedName>
    <definedName function="false" hidden="true" localSheetId="6" name="_xlnm._FilterDatabase" vbProcedure="false">Document_Types!$A$1:$E$43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<sst xmlns="http://schemas.openxmlformats.org/spreadsheetml/2006/main" count="1466" uniqueCount="944">
  <si>
    <t xml:space="preserve">FPO Compliance Catalog — K2 Platform</t>
  </si>
  <si>
    <t xml:space="preserve">Master list of every compliance an FPO may face. Seeds the ComplianceCatalog table (Slide 13).</t>
  </si>
  <si>
    <t xml:space="preserve">How to use this file</t>
  </si>
  <si>
    <t xml:space="preserve">1. Catalog — master list of all 60+ compliances. This is the source of truth.</t>
  </si>
  <si>
    <t xml:space="preserve">2. Applicability_Rules — decision matrix that decides which catalog items apply to which FPO.</t>
  </si>
  <si>
    <t xml:space="preserve">3. Health_Score_Logic — formula and weighting for the 82% score shown on Home dashboard.</t>
  </si>
  <si>
    <t xml:space="preserve">4. Audit_Readiness_Checks — validation rules that flag missing/incomplete records.</t>
  </si>
  <si>
    <t xml:space="preserve">5. Categories — reference list of compliance categories used in filters.</t>
  </si>
  <si>
    <t xml:space="preserve">6. Document_Types — reference list of document types stored in the vault.</t>
  </si>
  <si>
    <t xml:space="preserve">Column legend (Catalog sheet)</t>
  </si>
  <si>
    <t xml:space="preserve">compliance_id</t>
  </si>
  <si>
    <t xml:space="preserve">Unique short code, e.g. GST-3B, ROC-AOC4. Used as foreign key everywhere.</t>
  </si>
  <si>
    <t xml:space="preserve">name</t>
  </si>
  <si>
    <t xml:space="preserve">Display name shown in the app.</t>
  </si>
  <si>
    <t xml:space="preserve">category</t>
  </si>
  <si>
    <t xml:space="preserve">Statutory | Tax | ROC | Audit | Governance | Labour | License | Scheme.</t>
  </si>
  <si>
    <t xml:space="preserve">authority</t>
  </si>
  <si>
    <t xml:space="preserve">Issuing/regulating body — GSTN, MCA, Income Tax Dept, NABARD, FSSAI, etc.</t>
  </si>
  <si>
    <t xml:space="preserve">frequency</t>
  </si>
  <si>
    <t xml:space="preserve">Monthly | Quarterly | Half-Yearly | Annual | One-Time | Event-Based.</t>
  </si>
  <si>
    <t xml:space="preserve">due_rule</t>
  </si>
  <si>
    <t xml:space="preserve">How due date is computed, e.g. '20th of next month', '30 days from FY end'.</t>
  </si>
  <si>
    <t xml:space="preserve">applies_to</t>
  </si>
  <si>
    <t xml:space="preserve">Plain-English condition for applicability. Maps to a rule in Applicability_Rules.</t>
  </si>
  <si>
    <t xml:space="preserve">required_documents</t>
  </si>
  <si>
    <t xml:space="preserve">Documents that must be attached to close this task.</t>
  </si>
  <si>
    <t xml:space="preserve">severity</t>
  </si>
  <si>
    <t xml:space="preserve">Critical | High | Medium | Low — drives weight in Health Score.</t>
  </si>
  <si>
    <t xml:space="preserve">penalty_for_non_compliance</t>
  </si>
  <si>
    <t xml:space="preserve">Brief description of penalty / consequence.</t>
  </si>
  <si>
    <t xml:space="preserve">notes</t>
  </si>
  <si>
    <t xml:space="preserve">Any clarifying notes for product/dev team.</t>
  </si>
  <si>
    <t xml:space="preserve">Owner: Ankit | Krishi Kutumb | K2 Platform</t>
  </si>
  <si>
    <t xml:space="preserve">ROC-AOC4</t>
  </si>
  <si>
    <t xml:space="preserve">AOC-4 — Annual Financial Statement Filing</t>
  </si>
  <si>
    <t xml:space="preserve">ROC</t>
  </si>
  <si>
    <t xml:space="preserve">MCA / ROC</t>
  </si>
  <si>
    <t xml:space="preserve">Annual</t>
  </si>
  <si>
    <t xml:space="preserve">Within 30 days of AGM</t>
  </si>
  <si>
    <t xml:space="preserve">All Producer Companies (registered under Companies Act)</t>
  </si>
  <si>
    <t xml:space="preserve">Audited Balance Sheet, P&amp;L, Auditor's Report, Board's Report</t>
  </si>
  <si>
    <t xml:space="preserve">Critical</t>
  </si>
  <si>
    <t xml:space="preserve">Late fee ₹100/day; possible director disqualification</t>
  </si>
  <si>
    <t xml:space="preserve">Must be filed via MCA portal.</t>
  </si>
  <si>
    <t xml:space="preserve">ROC-MGT7</t>
  </si>
  <si>
    <t xml:space="preserve">MGT-7 — Annual Return Filing</t>
  </si>
  <si>
    <t xml:space="preserve">Within 60 days of AGM</t>
  </si>
  <si>
    <t xml:space="preserve">All Producer Companies</t>
  </si>
  <si>
    <t xml:space="preserve">List of members, directors, shareholding pattern, AGM minutes</t>
  </si>
  <si>
    <t xml:space="preserve">Late fee ₹100/day; non-compliance affects loan/grant eligibility</t>
  </si>
  <si>
    <t xml:space="preserve">Must be digitally signed by Director + CS/CA.</t>
  </si>
  <si>
    <t xml:space="preserve">ROC-DIR3KYC</t>
  </si>
  <si>
    <t xml:space="preserve">DIR-3 KYC — Director KYC</t>
  </si>
  <si>
    <t xml:space="preserve">MCA</t>
  </si>
  <si>
    <t xml:space="preserve">By 30 September every year</t>
  </si>
  <si>
    <t xml:space="preserve">Every director with active DIN</t>
  </si>
  <si>
    <t xml:space="preserve">PAN, Aadhaar, address proof, mobile/email verification, DSC</t>
  </si>
  <si>
    <t xml:space="preserve">High</t>
  </si>
  <si>
    <t xml:space="preserve">DIN deactivation; ₹5,000 fee for reactivation</t>
  </si>
  <si>
    <t xml:space="preserve">Director cannot sign filings if DIN is deactivated.</t>
  </si>
  <si>
    <t xml:space="preserve">ROC-ADT1</t>
  </si>
  <si>
    <t xml:space="preserve">ADT-1 — Auditor Appointment Filing</t>
  </si>
  <si>
    <t xml:space="preserve">Event-Based</t>
  </si>
  <si>
    <t xml:space="preserve">Within 15 days of AGM appointing auditor</t>
  </si>
  <si>
    <t xml:space="preserve">All Producer Companies on auditor appointment/reappointment</t>
  </si>
  <si>
    <t xml:space="preserve">Board resolution, AGM resolution, auditor consent letter</t>
  </si>
  <si>
    <t xml:space="preserve">Penalty up to ₹5 lakh; auditor appointment invalid</t>
  </si>
  <si>
    <t xml:space="preserve">Required even on reappointment.</t>
  </si>
  <si>
    <t xml:space="preserve">ROC-DIR12</t>
  </si>
  <si>
    <t xml:space="preserve">DIR-12 — Director Appointment / Cessation</t>
  </si>
  <si>
    <t xml:space="preserve">Within 30 days of change</t>
  </si>
  <si>
    <t xml:space="preserve">All Producer Companies on any director change</t>
  </si>
  <si>
    <t xml:space="preserve">Board resolution, consent letter, DIR-2, ID proof</t>
  </si>
  <si>
    <t xml:space="preserve">₹100/day late fee</t>
  </si>
  <si>
    <t xml:space="preserve">Auto-trigger from Members &amp; Directors module (Slide 9).</t>
  </si>
  <si>
    <t xml:space="preserve">ROC-MGT14</t>
  </si>
  <si>
    <t xml:space="preserve">MGT-14 — Filing of Resolutions</t>
  </si>
  <si>
    <t xml:space="preserve">Within 30 days of passing resolution</t>
  </si>
  <si>
    <t xml:space="preserve">Producer Companies passing special / Board resolutions requiring filing</t>
  </si>
  <si>
    <t xml:space="preserve">Certified true copy of resolution, explanatory statement</t>
  </si>
  <si>
    <t xml:space="preserve">Medium</t>
  </si>
  <si>
    <t xml:space="preserve">Applies to specified resolutions only — check rule list.</t>
  </si>
  <si>
    <t xml:space="preserve">GST-3B</t>
  </si>
  <si>
    <t xml:space="preserve">GSTR-3B — Monthly Summary Return</t>
  </si>
  <si>
    <t xml:space="preserve">Tax</t>
  </si>
  <si>
    <t xml:space="preserve">GSTN</t>
  </si>
  <si>
    <t xml:space="preserve">Monthly</t>
  </si>
  <si>
    <t xml:space="preserve">20th of next month</t>
  </si>
  <si>
    <t xml:space="preserve">FPOs with GST registration</t>
  </si>
  <si>
    <t xml:space="preserve">Sales summary, ITC computation, tax challan</t>
  </si>
  <si>
    <t xml:space="preserve">Late fee ₹50/day + 18% interest on tax due</t>
  </si>
  <si>
    <t xml:space="preserve">Most frequent compliance — drives monthly task generation.</t>
  </si>
  <si>
    <t xml:space="preserve">GST-1</t>
  </si>
  <si>
    <t xml:space="preserve">GSTR-1 — Outward Supplies Return</t>
  </si>
  <si>
    <t xml:space="preserve">11th of next month</t>
  </si>
  <si>
    <t xml:space="preserve">GST-registered FPOs (turnover &gt; ₹5 Cr); Quarterly if QRMP scheme</t>
  </si>
  <si>
    <t xml:space="preserve">Sales invoice details, B2B/B2C breakup</t>
  </si>
  <si>
    <t xml:space="preserve">Late fee ₹50/day; blocks buyer's ITC</t>
  </si>
  <si>
    <t xml:space="preserve">Quarterly under QRMP — check FPO profile.</t>
  </si>
  <si>
    <t xml:space="preserve">GST-9</t>
  </si>
  <si>
    <t xml:space="preserve">GSTR-9 — Annual Return</t>
  </si>
  <si>
    <t xml:space="preserve">31st December of next FY</t>
  </si>
  <si>
    <t xml:space="preserve">GST-registered FPOs (turnover &gt; ₹2 Cr)</t>
  </si>
  <si>
    <t xml:space="preserve">Reconciliation of GSTR-1, GSTR-3B, books of accounts</t>
  </si>
  <si>
    <t xml:space="preserve">Late fee ₹200/day (capped)</t>
  </si>
  <si>
    <t xml:space="preserve">Auto-populated from monthly returns.</t>
  </si>
  <si>
    <t xml:space="preserve">GST-9C</t>
  </si>
  <si>
    <t xml:space="preserve">GSTR-9C — Reconciliation Statement</t>
  </si>
  <si>
    <t xml:space="preserve">GST-registered FPOs with turnover &gt; ₹5 Cr</t>
  </si>
  <si>
    <t xml:space="preserve">Reconciliation between audited financials and GSTR-9</t>
  </si>
  <si>
    <t xml:space="preserve">General penalty up to ₹25,000</t>
  </si>
  <si>
    <t xml:space="preserve">Self-certified; no CA audit required post-2021.</t>
  </si>
  <si>
    <t xml:space="preserve">TDS-Q</t>
  </si>
  <si>
    <t xml:space="preserve">TDS Quarterly Return (24Q / 26Q)</t>
  </si>
  <si>
    <t xml:space="preserve">Income Tax Dept</t>
  </si>
  <si>
    <t xml:space="preserve">Quarterly</t>
  </si>
  <si>
    <t xml:space="preserve">31st of month following quarter end</t>
  </si>
  <si>
    <t xml:space="preserve">FPOs deducting TDS on salaries / contractor payments</t>
  </si>
  <si>
    <t xml:space="preserve">TDS challans, deductee details, Form 16/16A</t>
  </si>
  <si>
    <t xml:space="preserve">₹200/day late fee; disallowance of expense</t>
  </si>
  <si>
    <t xml:space="preserve">Triggered if FPO has employees or vendor payments &gt; threshold.</t>
  </si>
  <si>
    <t xml:space="preserve">TAX-ITR</t>
  </si>
  <si>
    <t xml:space="preserve">Income Tax Return (ITR-7 / ITR-6)</t>
  </si>
  <si>
    <t xml:space="preserve">31st October (audit cases) / 31st July (non-audit)</t>
  </si>
  <si>
    <t xml:space="preserve">All registered FPOs</t>
  </si>
  <si>
    <t xml:space="preserve">Audited financials, tax audit report (if applicable), donation receipts</t>
  </si>
  <si>
    <t xml:space="preserve">Late filing fee ₹5,000–₹10,000; loss carry-forward denied</t>
  </si>
  <si>
    <t xml:space="preserve">Producer Companies file ITR-6.</t>
  </si>
  <si>
    <t xml:space="preserve">TAX-AUDIT</t>
  </si>
  <si>
    <t xml:space="preserve">Tax Audit Report (Form 3CA/3CB + 3CD)</t>
  </si>
  <si>
    <t xml:space="preserve">30th September</t>
  </si>
  <si>
    <t xml:space="preserve">FPOs with turnover &gt; ₹1 Cr (or ₹10 Cr digital)</t>
  </si>
  <si>
    <t xml:space="preserve">Tax audit report by CA, books of accounts</t>
  </si>
  <si>
    <t xml:space="preserve">Penalty 0.5% of turnover (max ₹1.5 lakh)</t>
  </si>
  <si>
    <t xml:space="preserve">Threshold check from FPO turnover field.</t>
  </si>
  <si>
    <t xml:space="preserve">TAX-ADV</t>
  </si>
  <si>
    <t xml:space="preserve">Advance Tax Payment</t>
  </si>
  <si>
    <t xml:space="preserve">15 Jun, 15 Sep, 15 Dec, 15 Mar</t>
  </si>
  <si>
    <t xml:space="preserve">FPOs with tax liability &gt; ₹10,000 in a year</t>
  </si>
  <si>
    <t xml:space="preserve">Advance tax challan</t>
  </si>
  <si>
    <t xml:space="preserve">Interest u/s 234B and 234C</t>
  </si>
  <si>
    <t xml:space="preserve">Auto-reminder 7 days before each due date.</t>
  </si>
  <si>
    <t xml:space="preserve">AUD-STAT</t>
  </si>
  <si>
    <t xml:space="preserve">Statutory Audit</t>
  </si>
  <si>
    <t xml:space="preserve">Audit</t>
  </si>
  <si>
    <t xml:space="preserve">ICAI / Auditor</t>
  </si>
  <si>
    <t xml:space="preserve">Before AGM (within 6 months of FY end)</t>
  </si>
  <si>
    <t xml:space="preserve">Audited financial statements, audit report, management letter</t>
  </si>
  <si>
    <t xml:space="preserve">Cannot file ROC returns without audit; grant/loan ineligibility</t>
  </si>
  <si>
    <t xml:space="preserve">Auditor appointed via ADT-1.</t>
  </si>
  <si>
    <t xml:space="preserve">AUD-INT</t>
  </si>
  <si>
    <t xml:space="preserve">Internal Audit</t>
  </si>
  <si>
    <t xml:space="preserve">ICAI / Internal Auditor</t>
  </si>
  <si>
    <t xml:space="preserve">As prescribed in Articles / Board policy</t>
  </si>
  <si>
    <t xml:space="preserve">Producer Companies with paid-up capital &gt; ₹50 Cr or turnover &gt; ₹200 Cr</t>
  </si>
  <si>
    <t xml:space="preserve">Internal audit report, action taken report</t>
  </si>
  <si>
    <t xml:space="preserve">General non-compliance penalty</t>
  </si>
  <si>
    <t xml:space="preserve">Most small FPOs are exempt; check thresholds.</t>
  </si>
  <si>
    <t xml:space="preserve">AUD-COSTAUD</t>
  </si>
  <si>
    <t xml:space="preserve">Cost Audit</t>
  </si>
  <si>
    <t xml:space="preserve">ICAI / Cost Auditor</t>
  </si>
  <si>
    <t xml:space="preserve">Within 30 days of receipt of cost audit report</t>
  </si>
  <si>
    <t xml:space="preserve">FPOs in regulated sectors with turnover &gt; ₹35 Cr</t>
  </si>
  <si>
    <t xml:space="preserve">Cost audit report, CRA-3, CRA-4 filing</t>
  </si>
  <si>
    <t xml:space="preserve">Low</t>
  </si>
  <si>
    <t xml:space="preserve">Penalty up to ₹5 lakh</t>
  </si>
  <si>
    <t xml:space="preserve">Rare for FPOs — flag only if applicable sector.</t>
  </si>
  <si>
    <t xml:space="preserve">GOV-AGM</t>
  </si>
  <si>
    <t xml:space="preserve">Annual General Meeting (AGM)</t>
  </si>
  <si>
    <t xml:space="preserve">Governance</t>
  </si>
  <si>
    <t xml:space="preserve">Companies Act</t>
  </si>
  <si>
    <t xml:space="preserve">Within 6 months of FY end (by 30 September)</t>
  </si>
  <si>
    <t xml:space="preserve">AGM notice (21 days prior), attendance register, minutes, resolutions</t>
  </si>
  <si>
    <t xml:space="preserve">Penalty up to ₹1 lakh + ₹5,000/day</t>
  </si>
  <si>
    <t xml:space="preserve">Notice generation should be one-click in app.</t>
  </si>
  <si>
    <t xml:space="preserve">GOV-BOD</t>
  </si>
  <si>
    <t xml:space="preserve">Board Meetings</t>
  </si>
  <si>
    <t xml:space="preserve">Min. 4 meetings per year, gap ≤ 120 days</t>
  </si>
  <si>
    <t xml:space="preserve">Notice, agenda, attendance register, signed minutes</t>
  </si>
  <si>
    <t xml:space="preserve">Penalty ₹25,000 per officer in default</t>
  </si>
  <si>
    <t xml:space="preserve">Track gap between meetings (≤120 days rule).</t>
  </si>
  <si>
    <t xml:space="preserve">GOV-MIN</t>
  </si>
  <si>
    <t xml:space="preserve">Maintenance of Statutory Registers</t>
  </si>
  <si>
    <t xml:space="preserve">Continuous; verified at AGM</t>
  </si>
  <si>
    <t xml:space="preserve">Register of Members, Directors, Charges, Contracts, Loans</t>
  </si>
  <si>
    <t xml:space="preserve">₹3–₹5 lakh penalty</t>
  </si>
  <si>
    <t xml:space="preserve">Often missed by FPOs — flag in audit checks.</t>
  </si>
  <si>
    <t xml:space="preserve">GOV-DECISION</t>
  </si>
  <si>
    <t xml:space="preserve">Board / AGM Decision Compliance</t>
  </si>
  <si>
    <t xml:space="preserve">Internal</t>
  </si>
  <si>
    <t xml:space="preserve">As per resolution timeline</t>
  </si>
  <si>
    <t xml:space="preserve">Resolution copy, action taken report, supporting evidence</t>
  </si>
  <si>
    <t xml:space="preserve">Governance gap; affects audit observations</t>
  </si>
  <si>
    <t xml:space="preserve">K2 differentiator — track decision → execution.</t>
  </si>
  <si>
    <t xml:space="preserve">LAB-EPF</t>
  </si>
  <si>
    <t xml:space="preserve">EPF Monthly Contribution &amp; Return</t>
  </si>
  <si>
    <t xml:space="preserve">Labour</t>
  </si>
  <si>
    <t xml:space="preserve">EPFO</t>
  </si>
  <si>
    <t xml:space="preserve">15th of next month</t>
  </si>
  <si>
    <t xml:space="preserve">FPOs with ≥ 20 employees</t>
  </si>
  <si>
    <t xml:space="preserve">EPF challan, ECR (Electronic Challan-cum-Return)</t>
  </si>
  <si>
    <t xml:space="preserve">Damages 5–25% + 12% interest</t>
  </si>
  <si>
    <t xml:space="preserve">Threshold check from employee count.</t>
  </si>
  <si>
    <t xml:space="preserve">LAB-ESI</t>
  </si>
  <si>
    <t xml:space="preserve">ESI Monthly Contribution &amp; Return</t>
  </si>
  <si>
    <t xml:space="preserve">ESIC</t>
  </si>
  <si>
    <t xml:space="preserve">FPOs with ≥ 10 employees and wage threshold</t>
  </si>
  <si>
    <t xml:space="preserve">ESI challan, return</t>
  </si>
  <si>
    <t xml:space="preserve">12% interest + damages up to 25%</t>
  </si>
  <si>
    <t xml:space="preserve">Applicable wage threshold — check state notification.</t>
  </si>
  <si>
    <t xml:space="preserve">LAB-PT</t>
  </si>
  <si>
    <t xml:space="preserve">Professional Tax Filing</t>
  </si>
  <si>
    <t xml:space="preserve">State Govt</t>
  </si>
  <si>
    <t xml:space="preserve">Monthly / Annual</t>
  </si>
  <si>
    <t xml:space="preserve">Varies by state</t>
  </si>
  <si>
    <t xml:space="preserve">FPOs in states levying PT (MH, KA, WB, etc.)</t>
  </si>
  <si>
    <t xml:space="preserve">PT challan, return</t>
  </si>
  <si>
    <t xml:space="preserve">Late fee + interest as per state law</t>
  </si>
  <si>
    <t xml:space="preserve">MP currently exempt; flag based on FPO state.</t>
  </si>
  <si>
    <t xml:space="preserve">LAB-GRAT</t>
  </si>
  <si>
    <t xml:space="preserve">Gratuity Compliance</t>
  </si>
  <si>
    <t xml:space="preserve">Payment of Gratuity Act</t>
  </si>
  <si>
    <t xml:space="preserve">On employee separation</t>
  </si>
  <si>
    <t xml:space="preserve">FPOs with ≥ 10 employees</t>
  </si>
  <si>
    <t xml:space="preserve">Gratuity calculation, payment proof, Form L</t>
  </si>
  <si>
    <t xml:space="preserve">Interest + penalty under Act</t>
  </si>
  <si>
    <t xml:space="preserve">Provision tracking in books required.</t>
  </si>
  <si>
    <t xml:space="preserve">LAB-SHOPS</t>
  </si>
  <si>
    <t xml:space="preserve">Shops &amp; Establishment Registration</t>
  </si>
  <si>
    <t xml:space="preserve">State Labour Dept</t>
  </si>
  <si>
    <t xml:space="preserve">One-Time + Renewal</t>
  </si>
  <si>
    <t xml:space="preserve">Within 30 days of starting; renewal as per state</t>
  </si>
  <si>
    <t xml:space="preserve">All FPOs operating from a commercial premises</t>
  </si>
  <si>
    <t xml:space="preserve">Registration certificate, employee list, premises proof</t>
  </si>
  <si>
    <t xml:space="preserve">₹5,000–₹50,000 penalty</t>
  </si>
  <si>
    <t xml:space="preserve">One-time then periodic renewal.</t>
  </si>
  <si>
    <t xml:space="preserve">LIC-FSSAI</t>
  </si>
  <si>
    <t xml:space="preserve">FSSAI License / Registration</t>
  </si>
  <si>
    <t xml:space="preserve">License</t>
  </si>
  <si>
    <t xml:space="preserve">FSSAI</t>
  </si>
  <si>
    <t xml:space="preserve">Renewal (1–5 yrs)</t>
  </si>
  <si>
    <t xml:space="preserve">Before expiry</t>
  </si>
  <si>
    <t xml:space="preserve">FPOs handling food products (processing, packaging, sale)</t>
  </si>
  <si>
    <t xml:space="preserve">FSSAI certificate, premises proof, food safety plan</t>
  </si>
  <si>
    <t xml:space="preserve">₹2 lakh penalty + business shutdown</t>
  </si>
  <si>
    <t xml:space="preserve">Renewal alert 90 days before expiry.</t>
  </si>
  <si>
    <t xml:space="preserve">LIC-SEED</t>
  </si>
  <si>
    <t xml:space="preserve">Seed License</t>
  </si>
  <si>
    <t xml:space="preserve">State Agri Dept</t>
  </si>
  <si>
    <t xml:space="preserve">Renewal (3 yrs)</t>
  </si>
  <si>
    <t xml:space="preserve">FPOs selling seeds to members</t>
  </si>
  <si>
    <t xml:space="preserve">Seed license, source certificates, sales register</t>
  </si>
  <si>
    <t xml:space="preserve">License cancellation; criminal action</t>
  </si>
  <si>
    <t xml:space="preserve">Common for input-business FPOs.</t>
  </si>
  <si>
    <t xml:space="preserve">LIC-FERT</t>
  </si>
  <si>
    <t xml:space="preserve">Fertiliser License</t>
  </si>
  <si>
    <t xml:space="preserve">FPOs selling fertilisers</t>
  </si>
  <si>
    <t xml:space="preserve">Fertiliser license, stock register, source proof</t>
  </si>
  <si>
    <t xml:space="preserve">License cancellation; ₹50,000 penalty</t>
  </si>
  <si>
    <t xml:space="preserve">LIC-PEST</t>
  </si>
  <si>
    <t xml:space="preserve">Pesticide License</t>
  </si>
  <si>
    <t xml:space="preserve">Renewal (2 yrs)</t>
  </si>
  <si>
    <t xml:space="preserve">FPOs selling pesticides</t>
  </si>
  <si>
    <t xml:space="preserve">Pesticide license, qualified person certificate, stock register</t>
  </si>
  <si>
    <t xml:space="preserve">Requires qualified personnel — flag separately.</t>
  </si>
  <si>
    <t xml:space="preserve">LIC-IEC</t>
  </si>
  <si>
    <t xml:space="preserve">IEC — Import Export Code</t>
  </si>
  <si>
    <t xml:space="preserve">DGFT</t>
  </si>
  <si>
    <t xml:space="preserve">One-Time + Annual Update</t>
  </si>
  <si>
    <t xml:space="preserve">Annual update by 30 June</t>
  </si>
  <si>
    <t xml:space="preserve">FPOs engaged in import/export</t>
  </si>
  <si>
    <t xml:space="preserve">IEC certificate, PAN, bank certificate, address proof</t>
  </si>
  <si>
    <t xml:space="preserve">IEC deactivation if not updated</t>
  </si>
  <si>
    <t xml:space="preserve">Annual update mandatory post-2021.</t>
  </si>
  <si>
    <t xml:space="preserve">LIC-APEDA</t>
  </si>
  <si>
    <t xml:space="preserve">APEDA Registration (RCMC)</t>
  </si>
  <si>
    <t xml:space="preserve">APEDA</t>
  </si>
  <si>
    <t xml:space="preserve">Renewal (5 yrs)</t>
  </si>
  <si>
    <t xml:space="preserve">FPOs exporting scheduled agricultural products</t>
  </si>
  <si>
    <t xml:space="preserve">RCMC certificate, IEC, bank details</t>
  </si>
  <si>
    <t xml:space="preserve">Loss of export incentives</t>
  </si>
  <si>
    <t xml:space="preserve">Required for export benefits / subsidies.</t>
  </si>
  <si>
    <t xml:space="preserve">LIC-ORGANIC</t>
  </si>
  <si>
    <t xml:space="preserve">Organic Certification (NPOP / PGS)</t>
  </si>
  <si>
    <t xml:space="preserve">APEDA / PGS-India</t>
  </si>
  <si>
    <t xml:space="preserve">Renewal (1–3 yrs)</t>
  </si>
  <si>
    <t xml:space="preserve">FPOs marketing produce as organic</t>
  </si>
  <si>
    <t xml:space="preserve">Certification, inspection report, traceability records</t>
  </si>
  <si>
    <t xml:space="preserve">Loss of organic premium pricing; legal action</t>
  </si>
  <si>
    <t xml:space="preserve">Big differentiator for organic-focused FPOs.</t>
  </si>
  <si>
    <t xml:space="preserve">LIC-WAREHOUSE</t>
  </si>
  <si>
    <t xml:space="preserve">Warehouse License (WDRA)</t>
  </si>
  <si>
    <t xml:space="preserve">WDRA</t>
  </si>
  <si>
    <t xml:space="preserve">Renewal (varies)</t>
  </si>
  <si>
    <t xml:space="preserve">FPOs operating registered warehouses</t>
  </si>
  <si>
    <t xml:space="preserve">WDRA registration, infrastructure proof</t>
  </si>
  <si>
    <t xml:space="preserve">Loss of WDRA benefits / NWR access</t>
  </si>
  <si>
    <t xml:space="preserve">Optional but enables negotiable warehouse receipts.</t>
  </si>
  <si>
    <t xml:space="preserve">LIC-MANDI</t>
  </si>
  <si>
    <t xml:space="preserve">Mandi / APMC License</t>
  </si>
  <si>
    <t xml:space="preserve">State APMC</t>
  </si>
  <si>
    <t xml:space="preserve">Before expiry / annual renewal</t>
  </si>
  <si>
    <t xml:space="preserve">FPOs trading in notified mandi area</t>
  </si>
  <si>
    <t xml:space="preserve">APMC license, premises proof</t>
  </si>
  <si>
    <t xml:space="preserve">Trading not permitted without license</t>
  </si>
  <si>
    <t xml:space="preserve">State-specific; some states have abolished APMC monopoly.</t>
  </si>
  <si>
    <t xml:space="preserve">LIC-POLLUTION</t>
  </si>
  <si>
    <t xml:space="preserve">Pollution Control NOC (CTE/CTO)</t>
  </si>
  <si>
    <t xml:space="preserve">State PCB</t>
  </si>
  <si>
    <t xml:space="preserve">FPOs with processing units / effluent generation</t>
  </si>
  <si>
    <t xml:space="preserve">Consent to Establish/Operate, ETP design</t>
  </si>
  <si>
    <t xml:space="preserve">Closure notice; penalty</t>
  </si>
  <si>
    <t xml:space="preserve">Applies only to processing FPOs.</t>
  </si>
  <si>
    <t xml:space="preserve">LIC-PANCHAYAT</t>
  </si>
  <si>
    <t xml:space="preserve">Panchayat / Municipal NOC</t>
  </si>
  <si>
    <t xml:space="preserve">Local Body</t>
  </si>
  <si>
    <t xml:space="preserve">Renewal (1 yr)</t>
  </si>
  <si>
    <t xml:space="preserve">FPOs operating from village / urban premises</t>
  </si>
  <si>
    <t xml:space="preserve">NOC certificate, premises proof</t>
  </si>
  <si>
    <t xml:space="preserve">Notice from local body</t>
  </si>
  <si>
    <t xml:space="preserve">Often overlooked; low cost to obtain.</t>
  </si>
  <si>
    <t xml:space="preserve">ID-PAN</t>
  </si>
  <si>
    <t xml:space="preserve">PAN Registration</t>
  </si>
  <si>
    <t xml:space="preserve">Statutory</t>
  </si>
  <si>
    <t xml:space="preserve">One-Time</t>
  </si>
  <si>
    <t xml:space="preserve">At incorporation</t>
  </si>
  <si>
    <t xml:space="preserve">All FPOs</t>
  </si>
  <si>
    <t xml:space="preserve">PAN card</t>
  </si>
  <si>
    <t xml:space="preserve">Cannot operate bank account / file returns</t>
  </si>
  <si>
    <t xml:space="preserve">Foundational — verified at FPO onboarding.</t>
  </si>
  <si>
    <t xml:space="preserve">ID-TAN</t>
  </si>
  <si>
    <t xml:space="preserve">TAN Registration</t>
  </si>
  <si>
    <t xml:space="preserve">Before deducting TDS</t>
  </si>
  <si>
    <t xml:space="preserve">FPOs deducting TDS</t>
  </si>
  <si>
    <t xml:space="preserve">TAN certificate</t>
  </si>
  <si>
    <t xml:space="preserve">Cannot deposit TDS; ₹10,000 penalty</t>
  </si>
  <si>
    <t xml:space="preserve">Required for TDS compliance chain.</t>
  </si>
  <si>
    <t xml:space="preserve">ID-GST-REG</t>
  </si>
  <si>
    <t xml:space="preserve">GST Registration</t>
  </si>
  <si>
    <t xml:space="preserve">Within 30 days of crossing turnover threshold</t>
  </si>
  <si>
    <t xml:space="preserve">FPOs with turnover &gt; ₹40 lakh (goods) / ₹20 lakh (services)</t>
  </si>
  <si>
    <t xml:space="preserve">GSTIN certificate, principal place of business</t>
  </si>
  <si>
    <t xml:space="preserve">₹10,000 or tax due (whichever higher)</t>
  </si>
  <si>
    <t xml:space="preserve">Voluntary registration also tracked.</t>
  </si>
  <si>
    <t xml:space="preserve">ID-BANK</t>
  </si>
  <si>
    <t xml:space="preserve">Current Account &amp; Banking Compliance</t>
  </si>
  <si>
    <t xml:space="preserve">Bank / RBI</t>
  </si>
  <si>
    <t xml:space="preserve">One-Time + Periodic KYC</t>
  </si>
  <si>
    <t xml:space="preserve">KYC update as per bank cycle</t>
  </si>
  <si>
    <t xml:space="preserve">Account opening, KYC docs, board resolution</t>
  </si>
  <si>
    <t xml:space="preserve">Account freeze on KYC lapse</t>
  </si>
  <si>
    <t xml:space="preserve">Re-KYC every 2–8 years depending on risk.</t>
  </si>
  <si>
    <t xml:space="preserve">SCH-EQUITY</t>
  </si>
  <si>
    <t xml:space="preserve">Equity Grant Utilisation Report (SFAC)</t>
  </si>
  <si>
    <t xml:space="preserve">Scheme</t>
  </si>
  <si>
    <t xml:space="preserve">SFAC</t>
  </si>
  <si>
    <t xml:space="preserve">As per sanction terms</t>
  </si>
  <si>
    <t xml:space="preserve">FPOs availing SFAC Equity Grant Scheme</t>
  </si>
  <si>
    <t xml:space="preserve">Utilisation certificate, audited financials, member matching contribution proof</t>
  </si>
  <si>
    <t xml:space="preserve">Grant recall; blacklisting</t>
  </si>
  <si>
    <t xml:space="preserve">Equity grant treated as liability, not income.</t>
  </si>
  <si>
    <t xml:space="preserve">SCH-CGS</t>
  </si>
  <si>
    <t xml:space="preserve">Credit Guarantee Scheme Compliance</t>
  </si>
  <si>
    <t xml:space="preserve">SFAC / NABARD</t>
  </si>
  <si>
    <t xml:space="preserve">As per scheme guidelines</t>
  </si>
  <si>
    <t xml:space="preserve">FPOs availing CGS-backed loans</t>
  </si>
  <si>
    <t xml:space="preserve">Loan utilisation report, repayment status</t>
  </si>
  <si>
    <t xml:space="preserve">Guarantee invocation</t>
  </si>
  <si>
    <t xml:space="preserve">Linked to loan ledger entries.</t>
  </si>
  <si>
    <t xml:space="preserve">SCH-NABARD</t>
  </si>
  <si>
    <t xml:space="preserve">NABARD FPO Scheme Reporting</t>
  </si>
  <si>
    <t xml:space="preserve">NABARD</t>
  </si>
  <si>
    <t xml:space="preserve">Within 30 days of quarter end</t>
  </si>
  <si>
    <t xml:space="preserve">FPOs under NABARD-promoted scheme (10K FPO scheme)</t>
  </si>
  <si>
    <t xml:space="preserve">Progress report, financial report, member data</t>
  </si>
  <si>
    <t xml:space="preserve">Funding tranches withheld</t>
  </si>
  <si>
    <t xml:space="preserve">Major reporting line for NABARD-FPOs.</t>
  </si>
  <si>
    <t xml:space="preserve">SCH-SFAC</t>
  </si>
  <si>
    <t xml:space="preserve">SFAC FPO Scheme Reporting</t>
  </si>
  <si>
    <t xml:space="preserve">FPOs under SFAC-promoted scheme</t>
  </si>
  <si>
    <t xml:space="preserve">Similar to NABARD reporting.</t>
  </si>
  <si>
    <t xml:space="preserve">SCH-MIDH</t>
  </si>
  <si>
    <t xml:space="preserve">MIDH / Sub-Mission Reporting</t>
  </si>
  <si>
    <t xml:space="preserve">MoA&amp;FW</t>
  </si>
  <si>
    <t xml:space="preserve">FPOs receiving MIDH / horticulture grants</t>
  </si>
  <si>
    <t xml:space="preserve">Utilisation certificate, asset register, photographs</t>
  </si>
  <si>
    <t xml:space="preserve">Future grants blocked</t>
  </si>
  <si>
    <t xml:space="preserve">Track only for grant-receiving FPOs.</t>
  </si>
  <si>
    <t xml:space="preserve">MEM-KYC</t>
  </si>
  <si>
    <t xml:space="preserve">Member KYC Maintenance</t>
  </si>
  <si>
    <t xml:space="preserve">RBI / Companies Act</t>
  </si>
  <si>
    <t xml:space="preserve">Annual / On-Update</t>
  </si>
  <si>
    <t xml:space="preserve">Within 30 days of any change</t>
  </si>
  <si>
    <t xml:space="preserve">Aadhaar, PAN, bank details, photo</t>
  </si>
  <si>
    <t xml:space="preserve">Affects audit observations; member rights restricted</t>
  </si>
  <si>
    <t xml:space="preserve">Slide 9 already tracks 23 KYC pending — feed this rule.</t>
  </si>
  <si>
    <t xml:space="preserve">MEM-SHARE</t>
  </si>
  <si>
    <t xml:space="preserve">Share Allotment &amp; Certificate Issuance</t>
  </si>
  <si>
    <t xml:space="preserve">Within 60 days of allotment</t>
  </si>
  <si>
    <t xml:space="preserve">All Producer Companies on new member admission / share allotment</t>
  </si>
  <si>
    <t xml:space="preserve">Share certificate, allotment register, board resolution</t>
  </si>
  <si>
    <t xml:space="preserve">Penalty under Companies Act</t>
  </si>
  <si>
    <t xml:space="preserve">Auto-trigger from Members module.</t>
  </si>
  <si>
    <t xml:space="preserve">MEM-PATRON</t>
  </si>
  <si>
    <t xml:space="preserve">Patronage Bonus / Limited Return Distribution</t>
  </si>
  <si>
    <t xml:space="preserve">Post-AGM approval</t>
  </si>
  <si>
    <t xml:space="preserve">Producer Companies declaring patronage / LR</t>
  </si>
  <si>
    <t xml:space="preserve">Board / AGM resolution, distribution register, payment proof</t>
  </si>
  <si>
    <t xml:space="preserve">Member trust loss; governance gap</t>
  </si>
  <si>
    <t xml:space="preserve">Distinct from dividend — Producer Co. specific.</t>
  </si>
  <si>
    <t xml:space="preserve">INS-PROP</t>
  </si>
  <si>
    <t xml:space="preserve">Property / Asset Insurance</t>
  </si>
  <si>
    <t xml:space="preserve">Insurer</t>
  </si>
  <si>
    <t xml:space="preserve">Before policy expiry</t>
  </si>
  <si>
    <t xml:space="preserve">FPOs owning warehouses, processing units, vehicles</t>
  </si>
  <si>
    <t xml:space="preserve">Policy document, premium receipt</t>
  </si>
  <si>
    <t xml:space="preserve">Uninsured loss exposure</t>
  </si>
  <si>
    <t xml:space="preserve">Soft compliance — best practice.</t>
  </si>
  <si>
    <t xml:space="preserve">INS-CROP</t>
  </si>
  <si>
    <t xml:space="preserve">Crop Insurance Linkage (PMFBY)</t>
  </si>
  <si>
    <t xml:space="preserve">Insurer / Govt</t>
  </si>
  <si>
    <t xml:space="preserve">Seasonal</t>
  </si>
  <si>
    <t xml:space="preserve">Before notified cut-off date (Kharif / Rabi)</t>
  </si>
  <si>
    <t xml:space="preserve">FPOs facilitating member crop insurance</t>
  </si>
  <si>
    <t xml:space="preserve">Member enrolment list, premium remittance</t>
  </si>
  <si>
    <t xml:space="preserve">Loss of crop insurance benefit for members</t>
  </si>
  <si>
    <t xml:space="preserve">Service to members; not strictly FPO compliance.</t>
  </si>
  <si>
    <t xml:space="preserve">REC-BOOKS</t>
  </si>
  <si>
    <t xml:space="preserve">Books of Accounts Maintenance</t>
  </si>
  <si>
    <t xml:space="preserve">Companies Act / IT Act</t>
  </si>
  <si>
    <t xml:space="preserve">Continuous</t>
  </si>
  <si>
    <t xml:space="preserve">Maintained for 8 years</t>
  </si>
  <si>
    <t xml:space="preserve">Cash book, ledger, journal, registers</t>
  </si>
  <si>
    <t xml:space="preserve">Disallowance of expenses; audit failure</t>
  </si>
  <si>
    <t xml:space="preserve">Tier-1 (already done by other team) feeds this.</t>
  </si>
  <si>
    <t xml:space="preserve">REC-AUDIT-TRAIL</t>
  </si>
  <si>
    <t xml:space="preserve">Audit Trail Edit Log (Companies Act)</t>
  </si>
  <si>
    <t xml:space="preserve">Mandatory since 1 Apr 2023</t>
  </si>
  <si>
    <t xml:space="preserve">All Producer Companies using accounting software</t>
  </si>
  <si>
    <t xml:space="preserve">Software with edit-log feature, log retention</t>
  </si>
  <si>
    <t xml:space="preserve">Disqualification of audit; penalty up to ₹5 lakh</t>
  </si>
  <si>
    <t xml:space="preserve">K2 must support immutable audit log per Slide 12.</t>
  </si>
  <si>
    <t xml:space="preserve">rule_id</t>
  </si>
  <si>
    <t xml:space="preserve">condition_field</t>
  </si>
  <si>
    <t xml:space="preserve">operator</t>
  </si>
  <si>
    <t xml:space="preserve">value</t>
  </si>
  <si>
    <t xml:space="preserve">logic_note</t>
  </si>
  <si>
    <t xml:space="preserve">R-001</t>
  </si>
  <si>
    <t xml:space="preserve">fpo.type</t>
  </si>
  <si>
    <t xml:space="preserve">=</t>
  </si>
  <si>
    <t xml:space="preserve">Producer Company</t>
  </si>
  <si>
    <t xml:space="preserve">All PCs file AOC-4.</t>
  </si>
  <si>
    <t xml:space="preserve">R-002</t>
  </si>
  <si>
    <t xml:space="preserve">All PCs file MGT-7.</t>
  </si>
  <si>
    <t xml:space="preserve">R-003</t>
  </si>
  <si>
    <t xml:space="preserve">director.din_status</t>
  </si>
  <si>
    <t xml:space="preserve">Active</t>
  </si>
  <si>
    <t xml:space="preserve">Per active director.</t>
  </si>
  <si>
    <t xml:space="preserve">R-004</t>
  </si>
  <si>
    <t xml:space="preserve">event</t>
  </si>
  <si>
    <t xml:space="preserve">Auditor Appointed/Reappointed</t>
  </si>
  <si>
    <t xml:space="preserve">Event-driven.</t>
  </si>
  <si>
    <t xml:space="preserve">R-005</t>
  </si>
  <si>
    <t xml:space="preserve">Director Change</t>
  </si>
  <si>
    <t xml:space="preserve">R-006</t>
  </si>
  <si>
    <t xml:space="preserve">Resolution Passed (specified)</t>
  </si>
  <si>
    <t xml:space="preserve">R-010</t>
  </si>
  <si>
    <t xml:space="preserve">fpo.turnover</t>
  </si>
  <si>
    <t xml:space="preserve">&gt;</t>
  </si>
  <si>
    <t xml:space="preserve">40,00,000</t>
  </si>
  <si>
    <t xml:space="preserve">Mandatory above threshold.</t>
  </si>
  <si>
    <t xml:space="preserve">R-011</t>
  </si>
  <si>
    <t xml:space="preserve">fpo.gstin</t>
  </si>
  <si>
    <t xml:space="preserve">exists</t>
  </si>
  <si>
    <t xml:space="preserve">true</t>
  </si>
  <si>
    <t xml:space="preserve">Required if GST-registered.</t>
  </si>
  <si>
    <t xml:space="preserve">R-012</t>
  </si>
  <si>
    <t xml:space="preserve">Monthly if turnover &gt; ₹5Cr; else QRMP quarterly.</t>
  </si>
  <si>
    <t xml:space="preserve">R-013</t>
  </si>
  <si>
    <t xml:space="preserve">2,00,00,000</t>
  </si>
  <si>
    <t xml:space="preserve">Required above ₹2 Cr turnover.</t>
  </si>
  <si>
    <t xml:space="preserve">R-014</t>
  </si>
  <si>
    <t xml:space="preserve">5,00,00,000</t>
  </si>
  <si>
    <t xml:space="preserve">Required above ₹5 Cr turnover.</t>
  </si>
  <si>
    <t xml:space="preserve">R-020</t>
  </si>
  <si>
    <t xml:space="preserve">fpo.deducts_tds</t>
  </si>
  <si>
    <t xml:space="preserve">Required if FPO deducts TDS.</t>
  </si>
  <si>
    <t xml:space="preserve">R-021</t>
  </si>
  <si>
    <t xml:space="preserve">fpo.tan</t>
  </si>
  <si>
    <t xml:space="preserve">Quarterly per TAN holder.</t>
  </si>
  <si>
    <t xml:space="preserve">R-022</t>
  </si>
  <si>
    <t xml:space="preserve">All PCs file ITR-6.</t>
  </si>
  <si>
    <t xml:space="preserve">R-023</t>
  </si>
  <si>
    <t xml:space="preserve">1,00,00,000</t>
  </si>
  <si>
    <t xml:space="preserve">Threshold ₹1 Cr (₹10 Cr digital).</t>
  </si>
  <si>
    <t xml:space="preserve">R-024</t>
  </si>
  <si>
    <t xml:space="preserve">fpo.estimated_tax</t>
  </si>
  <si>
    <t xml:space="preserve">10,000</t>
  </si>
  <si>
    <t xml:space="preserve">Quarterly advance tax.</t>
  </si>
  <si>
    <t xml:space="preserve">R-030</t>
  </si>
  <si>
    <t xml:space="preserve">Mandatory for all PCs.</t>
  </si>
  <si>
    <t xml:space="preserve">R-031</t>
  </si>
  <si>
    <t xml:space="preserve">fpo.paid_up_capital</t>
  </si>
  <si>
    <t xml:space="preserve">50,00,00,000</t>
  </si>
  <si>
    <t xml:space="preserve">Or turnover &gt; ₹200 Cr.</t>
  </si>
  <si>
    <t xml:space="preserve">R-032</t>
  </si>
  <si>
    <t xml:space="preserve">fpo.sector</t>
  </si>
  <si>
    <t xml:space="preserve">in</t>
  </si>
  <si>
    <t xml:space="preserve">Regulated List</t>
  </si>
  <si>
    <t xml:space="preserve">Sector + turnover &gt; ₹35 Cr.</t>
  </si>
  <si>
    <t xml:space="preserve">R-040</t>
  </si>
  <si>
    <t xml:space="preserve">All PCs.</t>
  </si>
  <si>
    <t xml:space="preserve">R-041</t>
  </si>
  <si>
    <t xml:space="preserve">Min 4 / year, gap ≤ 120 days.</t>
  </si>
  <si>
    <t xml:space="preserve">R-042</t>
  </si>
  <si>
    <t xml:space="preserve">R-043</t>
  </si>
  <si>
    <t xml:space="preserve">fpo.has_open_resolutions</t>
  </si>
  <si>
    <t xml:space="preserve">Track per resolution.</t>
  </si>
  <si>
    <t xml:space="preserve">R-050</t>
  </si>
  <si>
    <t xml:space="preserve">fpo.employee_count</t>
  </si>
  <si>
    <t xml:space="preserve">&gt;=</t>
  </si>
  <si>
    <t xml:space="preserve">20</t>
  </si>
  <si>
    <t xml:space="preserve">EPF threshold.</t>
  </si>
  <si>
    <t xml:space="preserve">R-051</t>
  </si>
  <si>
    <t xml:space="preserve">10</t>
  </si>
  <si>
    <t xml:space="preserve">ESI threshold + wage check.</t>
  </si>
  <si>
    <t xml:space="preserve">R-052</t>
  </si>
  <si>
    <t xml:space="preserve">fpo.state</t>
  </si>
  <si>
    <t xml:space="preserve">MH,KA,WB,GJ,TN,etc.</t>
  </si>
  <si>
    <t xml:space="preserve">PT-levying states only.</t>
  </si>
  <si>
    <t xml:space="preserve">R-053</t>
  </si>
  <si>
    <t xml:space="preserve">Gratuity Act applicability.</t>
  </si>
  <si>
    <t xml:space="preserve">R-054</t>
  </si>
  <si>
    <t xml:space="preserve">fpo.has_commercial_premises</t>
  </si>
  <si>
    <t xml:space="preserve">All commercial establishments.</t>
  </si>
  <si>
    <t xml:space="preserve">R-060</t>
  </si>
  <si>
    <t xml:space="preserve">fpo.handles_food</t>
  </si>
  <si>
    <t xml:space="preserve">Food handling FPOs.</t>
  </si>
  <si>
    <t xml:space="preserve">R-061</t>
  </si>
  <si>
    <t xml:space="preserve">fpo.sells_seeds</t>
  </si>
  <si>
    <t xml:space="preserve">Input-business FPOs.</t>
  </si>
  <si>
    <t xml:space="preserve">R-062</t>
  </si>
  <si>
    <t xml:space="preserve">fpo.sells_fertilisers</t>
  </si>
  <si>
    <t xml:space="preserve">R-063</t>
  </si>
  <si>
    <t xml:space="preserve">fpo.sells_pesticides</t>
  </si>
  <si>
    <t xml:space="preserve">R-064</t>
  </si>
  <si>
    <t xml:space="preserve">fpo.does_export_import</t>
  </si>
  <si>
    <t xml:space="preserve">Trade FPOs.</t>
  </si>
  <si>
    <t xml:space="preserve">R-065</t>
  </si>
  <si>
    <t xml:space="preserve">fpo.exports_scheduled_products</t>
  </si>
  <si>
    <t xml:space="preserve">Export-FPOs.</t>
  </si>
  <si>
    <t xml:space="preserve">R-066</t>
  </si>
  <si>
    <t xml:space="preserve">fpo.markets_organic</t>
  </si>
  <si>
    <t xml:space="preserve">Organic-FPOs.</t>
  </si>
  <si>
    <t xml:space="preserve">R-067</t>
  </si>
  <si>
    <t xml:space="preserve">fpo.operates_warehouse</t>
  </si>
  <si>
    <t xml:space="preserve">Optional WDRA.</t>
  </si>
  <si>
    <t xml:space="preserve">R-068</t>
  </si>
  <si>
    <t xml:space="preserve">fpo.trades_in_apmc</t>
  </si>
  <si>
    <t xml:space="preserve">State-dependent.</t>
  </si>
  <si>
    <t xml:space="preserve">R-069</t>
  </si>
  <si>
    <t xml:space="preserve">fpo.has_processing_unit</t>
  </si>
  <si>
    <t xml:space="preserve">Processing FPOs only.</t>
  </si>
  <si>
    <t xml:space="preserve">R-070</t>
  </si>
  <si>
    <t xml:space="preserve">fpo.has_premises</t>
  </si>
  <si>
    <t xml:space="preserve">All FPOs with premises.</t>
  </si>
  <si>
    <t xml:space="preserve">R-080</t>
  </si>
  <si>
    <t xml:space="preserve">fpo.exists</t>
  </si>
  <si>
    <t xml:space="preserve">All FPOs.</t>
  </si>
  <si>
    <t xml:space="preserve">R-081</t>
  </si>
  <si>
    <t xml:space="preserve">R-090</t>
  </si>
  <si>
    <t xml:space="preserve">fpo.equity_grant_received</t>
  </si>
  <si>
    <t xml:space="preserve">SFAC equity grant FPOs.</t>
  </si>
  <si>
    <t xml:space="preserve">R-091</t>
  </si>
  <si>
    <t xml:space="preserve">fpo.has_cgs_loan</t>
  </si>
  <si>
    <t xml:space="preserve">CGS-backed loans.</t>
  </si>
  <si>
    <t xml:space="preserve">R-092</t>
  </si>
  <si>
    <t xml:space="preserve">fpo.promoter</t>
  </si>
  <si>
    <t xml:space="preserve">NABARD-promoted FPOs.</t>
  </si>
  <si>
    <t xml:space="preserve">R-093</t>
  </si>
  <si>
    <t xml:space="preserve">SFAC-promoted FPOs.</t>
  </si>
  <si>
    <t xml:space="preserve">R-094</t>
  </si>
  <si>
    <t xml:space="preserve">fpo.midh_grant_received</t>
  </si>
  <si>
    <t xml:space="preserve">MIDH grant FPOs.</t>
  </si>
  <si>
    <t xml:space="preserve">R-100</t>
  </si>
  <si>
    <t xml:space="preserve">All PCs; per member.</t>
  </si>
  <si>
    <t xml:space="preserve">R-101</t>
  </si>
  <si>
    <t xml:space="preserve">New Member / Share Allotment</t>
  </si>
  <si>
    <t xml:space="preserve">R-102</t>
  </si>
  <si>
    <t xml:space="preserve">fpo.declares_patronage</t>
  </si>
  <si>
    <t xml:space="preserve">Annual.</t>
  </si>
  <si>
    <t xml:space="preserve">R-110</t>
  </si>
  <si>
    <t xml:space="preserve">fpo.has_assets_to_insure</t>
  </si>
  <si>
    <t xml:space="preserve">Soft compliance.</t>
  </si>
  <si>
    <t xml:space="preserve">R-111</t>
  </si>
  <si>
    <t xml:space="preserve">fpo.facilitates_crop_insurance</t>
  </si>
  <si>
    <t xml:space="preserve">Service to members.</t>
  </si>
  <si>
    <t xml:space="preserve">R-120</t>
  </si>
  <si>
    <t xml:space="preserve">R-121</t>
  </si>
  <si>
    <t xml:space="preserve">fpo.uses_accounting_software</t>
  </si>
  <si>
    <t xml:space="preserve">Mandatory since 1 Apr 2023.</t>
  </si>
  <si>
    <t xml:space="preserve">Compliance Health Score — Calculation Logic</t>
  </si>
  <si>
    <t xml:space="preserve">Drives the 82% on Home dashboard (Slide 4) and category bars on Reports (Slide 11)</t>
  </si>
  <si>
    <t xml:space="preserve">Severity Weights</t>
  </si>
  <si>
    <t xml:space="preserve">weight</t>
  </si>
  <si>
    <t xml:space="preserve">rationale</t>
  </si>
  <si>
    <t xml:space="preserve">Triggers grant recall, ROC penalty, audit failure, criminal action.</t>
  </si>
  <si>
    <t xml:space="preserve">Significant penalty, governance lapse, license at risk.</t>
  </si>
  <si>
    <t xml:space="preserve">Procedural lapse, recoverable with action.</t>
  </si>
  <si>
    <t xml:space="preserve">Best practice, soft compliance.</t>
  </si>
  <si>
    <t xml:space="preserve">Status Multipliers (per task)</t>
  </si>
  <si>
    <t xml:space="preserve">task_status</t>
  </si>
  <si>
    <t xml:space="preserve">multiplier</t>
  </si>
  <si>
    <t xml:space="preserve">meaning</t>
  </si>
  <si>
    <t xml:space="preserve">Closed (on-time)</t>
  </si>
  <si>
    <t xml:space="preserve">Full credit.</t>
  </si>
  <si>
    <t xml:space="preserve">Closed (late)</t>
  </si>
  <si>
    <t xml:space="preserve">Partial credit; closed but late.</t>
  </si>
  <si>
    <t xml:space="preserve">Verified</t>
  </si>
  <si>
    <t xml:space="preserve">Submitted + verified, awaiting closure.</t>
  </si>
  <si>
    <t xml:space="preserve">Submitted</t>
  </si>
  <si>
    <t xml:space="preserve">Maker done, pending verifier.</t>
  </si>
  <si>
    <t xml:space="preserve">In-Progress</t>
  </si>
  <si>
    <t xml:space="preserve">Started, not submitted.</t>
  </si>
  <si>
    <t xml:space="preserve">Pending (within due)</t>
  </si>
  <si>
    <t xml:space="preserve">Open and within due window.</t>
  </si>
  <si>
    <t xml:space="preserve">Overdue</t>
  </si>
  <si>
    <t xml:space="preserve">No credit; pulls score down.</t>
  </si>
  <si>
    <t xml:space="preserve">Score Formula</t>
  </si>
  <si>
    <t xml:space="preserve">Health Score (%) = Σ(severity_weight × status_multiplier) / Σ(severity_weight) × 100</t>
  </si>
  <si>
    <t xml:space="preserve">Computed across all applicable compliance tasks for the FPO in the current FY.</t>
  </si>
  <si>
    <t xml:space="preserve">Worked Example</t>
  </si>
  <si>
    <t xml:space="preserve">compliance</t>
  </si>
  <si>
    <t xml:space="preserve">status</t>
  </si>
  <si>
    <t xml:space="preserve">weighted_score</t>
  </si>
  <si>
    <t xml:space="preserve">max_possible</t>
  </si>
  <si>
    <t xml:space="preserve">GSTR-3B (Apr)</t>
  </si>
  <si>
    <t xml:space="preserve">GSTR-3B (May)</t>
  </si>
  <si>
    <t xml:space="preserve">AOC-4</t>
  </si>
  <si>
    <t xml:space="preserve">MGT-7</t>
  </si>
  <si>
    <t xml:space="preserve">AGM</t>
  </si>
  <si>
    <t xml:space="preserve">Board Meeting Q1</t>
  </si>
  <si>
    <t xml:space="preserve">Board Meeting Q2</t>
  </si>
  <si>
    <t xml:space="preserve">DIR-3 KYC</t>
  </si>
  <si>
    <t xml:space="preserve">FSSAI Renewal</t>
  </si>
  <si>
    <t xml:space="preserve">EPF (Apr)</t>
  </si>
  <si>
    <t xml:space="preserve">Member KYC batch</t>
  </si>
  <si>
    <t xml:space="preserve">PT Filing</t>
  </si>
  <si>
    <t xml:space="preserve">Stat. Registers</t>
  </si>
  <si>
    <t xml:space="preserve">Property Insurance</t>
  </si>
  <si>
    <t xml:space="preserve">Panchayat NOC</t>
  </si>
  <si>
    <t xml:space="preserve">TOTALS</t>
  </si>
  <si>
    <t xml:space="preserve">Health Score (%)</t>
  </si>
  <si>
    <t xml:space="preserve">%</t>
  </si>
  <si>
    <t xml:space="preserve">Category-wise score (Slide 11)</t>
  </si>
  <si>
    <t xml:space="preserve">Same formula applied to subset of tasks per category (Statutory / Tax / Audit / Governance / etc.)</t>
  </si>
  <si>
    <t xml:space="preserve">Risk Bands</t>
  </si>
  <si>
    <t xml:space="preserve">score_range</t>
  </si>
  <si>
    <t xml:space="preserve">band</t>
  </si>
  <si>
    <t xml:space="preserve">color</t>
  </si>
  <si>
    <t xml:space="preserve">90 – 100</t>
  </si>
  <si>
    <t xml:space="preserve">Excellent</t>
  </si>
  <si>
    <t xml:space="preserve">Green</t>
  </si>
  <si>
    <t xml:space="preserve">Audit-ready, funding-ready.</t>
  </si>
  <si>
    <t xml:space="preserve">75 – 89</t>
  </si>
  <si>
    <t xml:space="preserve">Good</t>
  </si>
  <si>
    <t xml:space="preserve">Light Green</t>
  </si>
  <si>
    <t xml:space="preserve">Minor gaps, easily closeable.</t>
  </si>
  <si>
    <t xml:space="preserve">60 – 74</t>
  </si>
  <si>
    <t xml:space="preserve">Caution</t>
  </si>
  <si>
    <t xml:space="preserve">Amber</t>
  </si>
  <si>
    <t xml:space="preserve">Material gaps, address within 30 days.</t>
  </si>
  <si>
    <t xml:space="preserve">40 – 59</t>
  </si>
  <si>
    <t xml:space="preserve">Risk</t>
  </si>
  <si>
    <t xml:space="preserve">Orange</t>
  </si>
  <si>
    <t xml:space="preserve">High risk of penalty / grant impact.</t>
  </si>
  <si>
    <t xml:space="preserve">0 – 39</t>
  </si>
  <si>
    <t xml:space="preserve">Red</t>
  </si>
  <si>
    <t xml:space="preserve">Immediate intervention required.</t>
  </si>
  <si>
    <t xml:space="preserve">Audit Readiness Validation Rules</t>
  </si>
  <si>
    <t xml:space="preserve">Each rule = automated check that runs on FPO data and returns ✅ / ⚠️ / ❌</t>
  </si>
  <si>
    <t xml:space="preserve">check_id</t>
  </si>
  <si>
    <t xml:space="preserve">check_name</t>
  </si>
  <si>
    <t xml:space="preserve">rule</t>
  </si>
  <si>
    <t xml:space="preserve">trigger_data</t>
  </si>
  <si>
    <t xml:space="preserve">severity_if_fail</t>
  </si>
  <si>
    <t xml:space="preserve">user_message</t>
  </si>
  <si>
    <t xml:space="preserve">CHK-001</t>
  </si>
  <si>
    <t xml:space="preserve">Procurement entry has receipt</t>
  </si>
  <si>
    <t xml:space="preserve">Every procurement entry must have a linked receipt document.</t>
  </si>
  <si>
    <t xml:space="preserve">transactions, documents</t>
  </si>
  <si>
    <t xml:space="preserve">Procurement entry without receipt — auditor will flag.</t>
  </si>
  <si>
    <t xml:space="preserve">CHK-002</t>
  </si>
  <si>
    <t xml:space="preserve">GRN exists for stock inward</t>
  </si>
  <si>
    <t xml:space="preserve">Every stock inward must trace back to a GRN document.</t>
  </si>
  <si>
    <t xml:space="preserve">stock, documents</t>
  </si>
  <si>
    <t xml:space="preserve">Stock inward without GRN — fraud risk.</t>
  </si>
  <si>
    <t xml:space="preserve">CHK-003</t>
  </si>
  <si>
    <t xml:space="preserve">Stock = Procurement − Sales</t>
  </si>
  <si>
    <t xml:space="preserve">Closing stock must reconcile with procurement and sales registers.</t>
  </si>
  <si>
    <t xml:space="preserve">stock, transactions</t>
  </si>
  <si>
    <t xml:space="preserve">Stock mismatch detected — physical verification needed.</t>
  </si>
  <si>
    <t xml:space="preserve">CHK-004</t>
  </si>
  <si>
    <t xml:space="preserve">Sales not exceeding stock</t>
  </si>
  <si>
    <t xml:space="preserve">No sale entry should exceed available stock at time of sale.</t>
  </si>
  <si>
    <t xml:space="preserve">Negative stock — invalid entry.</t>
  </si>
  <si>
    <t xml:space="preserve">CHK-005</t>
  </si>
  <si>
    <t xml:space="preserve">Payment ≤ procurement value</t>
  </si>
  <si>
    <t xml:space="preserve">Total payment to a farmer should not exceed total procurement value (advance + final).</t>
  </si>
  <si>
    <t xml:space="preserve">transactions</t>
  </si>
  <si>
    <t xml:space="preserve">Overpayment to farmer — review entry.</t>
  </si>
  <si>
    <t xml:space="preserve">CHK-006</t>
  </si>
  <si>
    <t xml:space="preserve">Ledger debit = credit</t>
  </si>
  <si>
    <t xml:space="preserve">Trial balance must tie out (Σ Dr = Σ Cr).</t>
  </si>
  <si>
    <t xml:space="preserve">ledger</t>
  </si>
  <si>
    <t xml:space="preserve">Trial balance mismatch — books not balanced.</t>
  </si>
  <si>
    <t xml:space="preserve">CHK-007</t>
  </si>
  <si>
    <t xml:space="preserve">GST filed has challan attached</t>
  </si>
  <si>
    <t xml:space="preserve">Every GST task marked Closed must have challan PDF attached.</t>
  </si>
  <si>
    <t xml:space="preserve">tasks, documents</t>
  </si>
  <si>
    <t xml:space="preserve">GST closed without challan — proof missing.</t>
  </si>
  <si>
    <t xml:space="preserve">CHK-008</t>
  </si>
  <si>
    <t xml:space="preserve">AGM has minutes uploaded</t>
  </si>
  <si>
    <t xml:space="preserve">AGM task closure requires signed minutes upload.</t>
  </si>
  <si>
    <t xml:space="preserve">AGM marked done but no minutes — non-compliant.</t>
  </si>
  <si>
    <t xml:space="preserve">CHK-009</t>
  </si>
  <si>
    <t xml:space="preserve">Board meeting gap ≤ 120 days</t>
  </si>
  <si>
    <t xml:space="preserve">Gap between any two consecutive Board Meetings must be ≤ 120 days.</t>
  </si>
  <si>
    <t xml:space="preserve">tasks</t>
  </si>
  <si>
    <t xml:space="preserve">Board meeting gap &gt; 120 days — Companies Act breach.</t>
  </si>
  <si>
    <t xml:space="preserve">CHK-010</t>
  </si>
  <si>
    <t xml:space="preserve">Min 4 Board Meetings/year</t>
  </si>
  <si>
    <t xml:space="preserve">At least 4 Board Meetings recorded per FY.</t>
  </si>
  <si>
    <t xml:space="preserve">Less than 4 Board Meetings this FY.</t>
  </si>
  <si>
    <t xml:space="preserve">CHK-011</t>
  </si>
  <si>
    <t xml:space="preserve">Director KYC current</t>
  </si>
  <si>
    <t xml:space="preserve">All active directors have DIR-3 KYC filed for current year.</t>
  </si>
  <si>
    <t xml:space="preserve">directors, tasks</t>
  </si>
  <si>
    <t xml:space="preserve">Director KYC pending — DIN at risk of deactivation.</t>
  </si>
  <si>
    <t xml:space="preserve">CHK-012</t>
  </si>
  <si>
    <t xml:space="preserve">ADT-1 filed post-AGM</t>
  </si>
  <si>
    <t xml:space="preserve">If auditor appointed/reappointed in AGM, ADT-1 filing exists within 15 days.</t>
  </si>
  <si>
    <t xml:space="preserve">tasks, events</t>
  </si>
  <si>
    <t xml:space="preserve">ADT-1 not filed — auditor appointment invalid.</t>
  </si>
  <si>
    <t xml:space="preserve">CHK-013</t>
  </si>
  <si>
    <t xml:space="preserve">Member KYC ≥ 95%</t>
  </si>
  <si>
    <t xml:space="preserve">At least 95% of members have completed KYC.</t>
  </si>
  <si>
    <t xml:space="preserve">members</t>
  </si>
  <si>
    <t xml:space="preserve">Member KYC &lt; 95% — governance observation.</t>
  </si>
  <si>
    <t xml:space="preserve">CHK-014</t>
  </si>
  <si>
    <t xml:space="preserve">Share certificates issued ≤ 60 days</t>
  </si>
  <si>
    <t xml:space="preserve">All share allotments have certificates issued within 60 days.</t>
  </si>
  <si>
    <t xml:space="preserve">members, documents</t>
  </si>
  <si>
    <t xml:space="preserve">Share certificate pending beyond 60 days.</t>
  </si>
  <si>
    <t xml:space="preserve">CHK-015</t>
  </si>
  <si>
    <t xml:space="preserve">Statutory registers maintained</t>
  </si>
  <si>
    <t xml:space="preserve">All required statutory registers exist and have entries for current FY.</t>
  </si>
  <si>
    <t xml:space="preserve">registers</t>
  </si>
  <si>
    <t xml:space="preserve">Statutory register missing entries.</t>
  </si>
  <si>
    <t xml:space="preserve">CHK-016</t>
  </si>
  <si>
    <t xml:space="preserve">ROC filings on time</t>
  </si>
  <si>
    <t xml:space="preserve">AOC-4 within 30 days of AGM, MGT-7 within 60 days.</t>
  </si>
  <si>
    <t xml:space="preserve">ROC filing overdue — penalty accruing daily.</t>
  </si>
  <si>
    <t xml:space="preserve">CHK-017</t>
  </si>
  <si>
    <t xml:space="preserve">Tax audit done if turnover &gt; ₹1 Cr</t>
  </si>
  <si>
    <t xml:space="preserve">If turnover &gt; ₹1 Cr, tax audit report exists for current FY.</t>
  </si>
  <si>
    <t xml:space="preserve">fpo, tasks</t>
  </si>
  <si>
    <t xml:space="preserve">Tax audit pending — return cannot be filed.</t>
  </si>
  <si>
    <t xml:space="preserve">CHK-018</t>
  </si>
  <si>
    <t xml:space="preserve">Equity grant treated as liability</t>
  </si>
  <si>
    <t xml:space="preserve">Equity grant entry classified as liability, not income, in books.</t>
  </si>
  <si>
    <t xml:space="preserve">Equity grant misclassified — accounting error.</t>
  </si>
  <si>
    <t xml:space="preserve">CHK-019</t>
  </si>
  <si>
    <t xml:space="preserve">Loan classified correctly</t>
  </si>
  <si>
    <t xml:space="preserve">Loan amount in liabilities, repayments split into principal + interest.</t>
  </si>
  <si>
    <t xml:space="preserve">Loan accounting incorrect.</t>
  </si>
  <si>
    <t xml:space="preserve">CHK-020</t>
  </si>
  <si>
    <t xml:space="preserve">Direct/indirect expense split</t>
  </si>
  <si>
    <t xml:space="preserve">Expenses correctly classified as direct or indirect.</t>
  </si>
  <si>
    <t xml:space="preserve">Expense classification needs review.</t>
  </si>
  <si>
    <t xml:space="preserve">CHK-021</t>
  </si>
  <si>
    <t xml:space="preserve">License not expired</t>
  </si>
  <si>
    <t xml:space="preserve">All applicable licenses (FSSAI, Seed, Fert, etc.) have expiry &gt; today.</t>
  </si>
  <si>
    <t xml:space="preserve">licenses</t>
  </si>
  <si>
    <t xml:space="preserve">License expired — operations may be illegal.</t>
  </si>
  <si>
    <t xml:space="preserve">CHK-022</t>
  </si>
  <si>
    <t xml:space="preserve">License renewal alert (90 days)</t>
  </si>
  <si>
    <t xml:space="preserve">Flag any license expiring within 90 days.</t>
  </si>
  <si>
    <t xml:space="preserve">License expiring within 90 days — start renewal.</t>
  </si>
  <si>
    <t xml:space="preserve">CHK-023</t>
  </si>
  <si>
    <t xml:space="preserve">EPF/ESI filed if applicable</t>
  </si>
  <si>
    <t xml:space="preserve">If employee count crosses threshold, EPF/ESI filings up to date.</t>
  </si>
  <si>
    <t xml:space="preserve">EPF/ESI filing overdue.</t>
  </si>
  <si>
    <t xml:space="preserve">CHK-024</t>
  </si>
  <si>
    <t xml:space="preserve">Audit observations closed</t>
  </si>
  <si>
    <t xml:space="preserve">Open audit observations from prior year must be ≤ 30 days old or closed.</t>
  </si>
  <si>
    <t xml:space="preserve">observations</t>
  </si>
  <si>
    <t xml:space="preserve">Open audit observation aging &gt; 30 days.</t>
  </si>
  <si>
    <t xml:space="preserve">CHK-025</t>
  </si>
  <si>
    <t xml:space="preserve">Resolution → Action linked</t>
  </si>
  <si>
    <t xml:space="preserve">Every Board/AGM resolution has a linked action with status.</t>
  </si>
  <si>
    <t xml:space="preserve">decisions</t>
  </si>
  <si>
    <t xml:space="preserve">Resolution without tracked action — governance gap.</t>
  </si>
  <si>
    <t xml:space="preserve">CHK-026</t>
  </si>
  <si>
    <t xml:space="preserve">Audit trail edit log enabled</t>
  </si>
  <si>
    <t xml:space="preserve">Accounting software with edit log used (mandatory since 1 Apr 2023).</t>
  </si>
  <si>
    <t xml:space="preserve">fpo</t>
  </si>
  <si>
    <t xml:space="preserve">Audit trail not enabled — Companies Act breach.</t>
  </si>
  <si>
    <t xml:space="preserve">CHK-027</t>
  </si>
  <si>
    <t xml:space="preserve">Bank KYC current</t>
  </si>
  <si>
    <t xml:space="preserve">Bank KYC update done within prescribed cycle.</t>
  </si>
  <si>
    <t xml:space="preserve">banking</t>
  </si>
  <si>
    <t xml:space="preserve">Bank KYC overdue — account freeze risk.</t>
  </si>
  <si>
    <t xml:space="preserve">CHK-028</t>
  </si>
  <si>
    <t xml:space="preserve">Equity grant utilisation reported</t>
  </si>
  <si>
    <t xml:space="preserve">If equity grant received, annual utilisation certificate filed.</t>
  </si>
  <si>
    <t xml:space="preserve">scheme, tasks</t>
  </si>
  <si>
    <t xml:space="preserve">SFAC equity grant utilisation report pending.</t>
  </si>
  <si>
    <t xml:space="preserve">CHK-029</t>
  </si>
  <si>
    <t xml:space="preserve">Scheme reporting on time</t>
  </si>
  <si>
    <t xml:space="preserve">NABARD/SFAC quarterly reports submitted within 30 days of quarter end.</t>
  </si>
  <si>
    <t xml:space="preserve">Scheme reporting overdue — funding tranche at risk.</t>
  </si>
  <si>
    <t xml:space="preserve">CHK-030</t>
  </si>
  <si>
    <t xml:space="preserve">Farmer payment dues aging</t>
  </si>
  <si>
    <t xml:space="preserve">No farmer payment outstanding &gt; 30 days from procurement.</t>
  </si>
  <si>
    <t xml:space="preserve">Farmer payments overdue — trust impact.</t>
  </si>
  <si>
    <t xml:space="preserve">category_id</t>
  </si>
  <si>
    <t xml:space="preserve">category_name</t>
  </si>
  <si>
    <t xml:space="preserve">description</t>
  </si>
  <si>
    <t xml:space="preserve">filter_color</t>
  </si>
  <si>
    <t xml:space="preserve">CAT-STA</t>
  </si>
  <si>
    <t xml:space="preserve">Foundational identity and registration compliance (PAN, GST reg, bank).</t>
  </si>
  <si>
    <t xml:space="preserve">Dark Green</t>
  </si>
  <si>
    <t xml:space="preserve">CAT-ROC</t>
  </si>
  <si>
    <t xml:space="preserve">MCA / Companies Act filings (AOC-4, MGT-7, DIR, ADT, MGT-14).</t>
  </si>
  <si>
    <t xml:space="preserve">Forest</t>
  </si>
  <si>
    <t xml:space="preserve">CAT-TAX</t>
  </si>
  <si>
    <t xml:space="preserve">GST, TDS, Income Tax, Advance Tax, Tax Audit.</t>
  </si>
  <si>
    <t xml:space="preserve">Earth Gold</t>
  </si>
  <si>
    <t xml:space="preserve">CAT-AUD</t>
  </si>
  <si>
    <t xml:space="preserve">Statutory audit, internal audit, audit-trail compliance.</t>
  </si>
  <si>
    <t xml:space="preserve">Olive</t>
  </si>
  <si>
    <t xml:space="preserve">CAT-GOV</t>
  </si>
  <si>
    <t xml:space="preserve">AGM, Board Meetings, Registers, Decision tracking, Members.</t>
  </si>
  <si>
    <t xml:space="preserve">Mid Green</t>
  </si>
  <si>
    <t xml:space="preserve">CAT-LAB</t>
  </si>
  <si>
    <t xml:space="preserve">EPF, ESI, PT, Gratuity, Shops &amp; Establishment.</t>
  </si>
  <si>
    <t xml:space="preserve">Sage</t>
  </si>
  <si>
    <t xml:space="preserve">CAT-LIC</t>
  </si>
  <si>
    <t xml:space="preserve">FSSAI, Seed, Fert, Pest, IEC, APEDA, Organic, WDRA, Mandi, Pollution, NOC.</t>
  </si>
  <si>
    <t xml:space="preserve">CAT-SCH</t>
  </si>
  <si>
    <t xml:space="preserve">NABARD, SFAC, Equity Grant, CGS, MIDH, PMFBY linkage.</t>
  </si>
  <si>
    <t xml:space="preserve">Cream Gold</t>
  </si>
  <si>
    <t xml:space="preserve">doc_type_id</t>
  </si>
  <si>
    <t xml:space="preserve">doc_type</t>
  </si>
  <si>
    <t xml:space="preserve">linked_compliance_examples</t>
  </si>
  <si>
    <t xml:space="preserve">retention_years</t>
  </si>
  <si>
    <t xml:space="preserve">DOC-001</t>
  </si>
  <si>
    <t xml:space="preserve">PAN Card</t>
  </si>
  <si>
    <t xml:space="preserve">DOC-002</t>
  </si>
  <si>
    <t xml:space="preserve">GSTIN Certificate</t>
  </si>
  <si>
    <t xml:space="preserve">DOC-003</t>
  </si>
  <si>
    <t xml:space="preserve">Incorporation Certificate</t>
  </si>
  <si>
    <t xml:space="preserve">ID-PAN, ROC-AOC4</t>
  </si>
  <si>
    <t xml:space="preserve">DOC-004</t>
  </si>
  <si>
    <t xml:space="preserve">GST Return (3B/1/9)</t>
  </si>
  <si>
    <t xml:space="preserve">GST-3B, GST-1, GST-9</t>
  </si>
  <si>
    <t xml:space="preserve">DOC-005</t>
  </si>
  <si>
    <t xml:space="preserve">GST Challan</t>
  </si>
  <si>
    <t xml:space="preserve">DOC-006</t>
  </si>
  <si>
    <t xml:space="preserve">TDS Challan</t>
  </si>
  <si>
    <t xml:space="preserve">DOC-007</t>
  </si>
  <si>
    <t xml:space="preserve">Form 16 / 16A</t>
  </si>
  <si>
    <t xml:space="preserve">DOC-008</t>
  </si>
  <si>
    <t xml:space="preserve">ITR Acknowledgement</t>
  </si>
  <si>
    <t xml:space="preserve">DOC-009</t>
  </si>
  <si>
    <t xml:space="preserve">Tax Audit Report</t>
  </si>
  <si>
    <t xml:space="preserve">DOC-010</t>
  </si>
  <si>
    <t xml:space="preserve">Audited Financial Statements</t>
  </si>
  <si>
    <t xml:space="preserve">AUD-STAT, ROC-AOC4</t>
  </si>
  <si>
    <t xml:space="preserve">DOC-011</t>
  </si>
  <si>
    <t xml:space="preserve">Auditor Report</t>
  </si>
  <si>
    <t xml:space="preserve">DOC-012</t>
  </si>
  <si>
    <t xml:space="preserve">Board Meeting Minutes</t>
  </si>
  <si>
    <t xml:space="preserve">DOC-013</t>
  </si>
  <si>
    <t xml:space="preserve">AGM Minutes</t>
  </si>
  <si>
    <t xml:space="preserve">DOC-014</t>
  </si>
  <si>
    <t xml:space="preserve">AGM Notice</t>
  </si>
  <si>
    <t xml:space="preserve">DOC-015</t>
  </si>
  <si>
    <t xml:space="preserve">Register of Members</t>
  </si>
  <si>
    <t xml:space="preserve">DOC-016</t>
  </si>
  <si>
    <t xml:space="preserve">Register of Directors</t>
  </si>
  <si>
    <t xml:space="preserve">DOC-017</t>
  </si>
  <si>
    <t xml:space="preserve">Share Certificate</t>
  </si>
  <si>
    <t xml:space="preserve">DOC-018</t>
  </si>
  <si>
    <t xml:space="preserve">Board Resolution</t>
  </si>
  <si>
    <t xml:space="preserve">ROC-ADT1, ROC-DIR12, MGT-14</t>
  </si>
  <si>
    <t xml:space="preserve">DOC-019</t>
  </si>
  <si>
    <t xml:space="preserve">DIR-3 KYC Form</t>
  </si>
  <si>
    <t xml:space="preserve">DOC-020</t>
  </si>
  <si>
    <t xml:space="preserve">AOC-4 Filing</t>
  </si>
  <si>
    <t xml:space="preserve">DOC-021</t>
  </si>
  <si>
    <t xml:space="preserve">MGT-7 Filing</t>
  </si>
  <si>
    <t xml:space="preserve">DOC-022</t>
  </si>
  <si>
    <t xml:space="preserve">Auditor Consent (ADT-1)</t>
  </si>
  <si>
    <t xml:space="preserve">DOC-023</t>
  </si>
  <si>
    <t xml:space="preserve">EPF ECR / Challan</t>
  </si>
  <si>
    <t xml:space="preserve">DOC-024</t>
  </si>
  <si>
    <t xml:space="preserve">ESI Challan / Return</t>
  </si>
  <si>
    <t xml:space="preserve">DOC-025</t>
  </si>
  <si>
    <t xml:space="preserve">Shops &amp; Est. Certificate</t>
  </si>
  <si>
    <t xml:space="preserve">DOC-026</t>
  </si>
  <si>
    <t xml:space="preserve">FSSAI License</t>
  </si>
  <si>
    <t xml:space="preserve">DOC-027</t>
  </si>
  <si>
    <t xml:space="preserve">DOC-028</t>
  </si>
  <si>
    <t xml:space="preserve">DOC-029</t>
  </si>
  <si>
    <t xml:space="preserve">DOC-030</t>
  </si>
  <si>
    <t xml:space="preserve">IEC Certificate</t>
  </si>
  <si>
    <t xml:space="preserve">DOC-031</t>
  </si>
  <si>
    <t xml:space="preserve">APEDA RCMC</t>
  </si>
  <si>
    <t xml:space="preserve">DOC-032</t>
  </si>
  <si>
    <t xml:space="preserve">Organic Certification</t>
  </si>
  <si>
    <t xml:space="preserve">DOC-033</t>
  </si>
  <si>
    <t xml:space="preserve">Pollution NOC (CTE/CTO)</t>
  </si>
  <si>
    <t xml:space="preserve">DOC-034</t>
  </si>
  <si>
    <t xml:space="preserve">DOC-035</t>
  </si>
  <si>
    <t xml:space="preserve">Equity Grant Sanction Letter</t>
  </si>
  <si>
    <t xml:space="preserve">DOC-036</t>
  </si>
  <si>
    <t xml:space="preserve">Utilisation Certificate</t>
  </si>
  <si>
    <t xml:space="preserve">SCH-EQUITY, SCH-MIDH</t>
  </si>
  <si>
    <t xml:space="preserve">DOC-037</t>
  </si>
  <si>
    <t xml:space="preserve">NABARD/SFAC Progress Report</t>
  </si>
  <si>
    <t xml:space="preserve">SCH-NABARD, SCH-SFAC</t>
  </si>
  <si>
    <t xml:space="preserve">DOC-038</t>
  </si>
  <si>
    <t xml:space="preserve">Procurement Receipt</t>
  </si>
  <si>
    <t xml:space="preserve">Operational</t>
  </si>
  <si>
    <t xml:space="preserve">DOC-039</t>
  </si>
  <si>
    <t xml:space="preserve">GRN (Goods Receipt Note)</t>
  </si>
  <si>
    <t xml:space="preserve">DOC-040</t>
  </si>
  <si>
    <t xml:space="preserve">Sales Invoice</t>
  </si>
  <si>
    <t xml:space="preserve">DOC-041</t>
  </si>
  <si>
    <t xml:space="preserve">Cash / Bank Voucher</t>
  </si>
  <si>
    <t xml:space="preserve">DOC-042</t>
  </si>
  <si>
    <t xml:space="preserve">Member KYC (Aadhaar/PAN/Bank)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</si>
</sst>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D5A2A"/>
      <name val="Calibri"/>
      <family val="0"/>
      <charset val="1"/>
    </font>
    <font>
      <i val="true"/>
      <sz val="11"/>
      <color rgb="FF2C2C2C"/>
      <name val="Calibri"/>
      <family val="0"/>
      <charset val="1"/>
    </font>
    <font>
      <sz val="11"/>
      <color rgb="FF2C2C2C"/>
      <name val="Calibri"/>
      <family val="0"/>
      <charset val="1"/>
    </font>
    <font>
      <b val="true"/>
      <sz val="13"/>
      <color rgb="FF3D5A2A"/>
      <name val="Calibri"/>
      <family val="0"/>
      <charset val="1"/>
    </font>
    <font>
      <b val="true"/>
      <sz val="10"/>
      <color rgb="FF4A6B32"/>
      <name val="Calibri"/>
      <family val="0"/>
      <charset val="1"/>
    </font>
    <font>
      <sz val="10"/>
      <color rgb="FF2C2C2C"/>
      <name val="Calibri"/>
      <family val="0"/>
      <charset val="1"/>
    </font>
    <font>
      <i val="true"/>
      <sz val="10"/>
      <color rgb="FF88888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b val="true"/>
      <sz val="10"/>
      <color rgb="FFD68910"/>
      <name val="Calibri"/>
      <family val="0"/>
      <charset val="1"/>
    </font>
    <font>
      <b val="true"/>
      <sz val="10"/>
      <color rgb="FF8B6914"/>
      <name val="Calibri"/>
      <family val="0"/>
      <charset val="1"/>
    </font>
    <font>
      <b val="true"/>
      <sz val="10"/>
      <color rgb="FF27AE60"/>
      <name val="Calibri"/>
      <family val="0"/>
      <charset val="1"/>
    </font>
    <font>
      <b val="true"/>
      <sz val="16"/>
      <color rgb="FF3D5A2A"/>
      <name val="Calibri"/>
      <family val="0"/>
      <charset val="1"/>
    </font>
    <font>
      <i val="true"/>
      <sz val="10"/>
      <color rgb="FF2C2C2C"/>
      <name val="Calibri"/>
      <family val="0"/>
      <charset val="1"/>
    </font>
    <font>
      <b val="true"/>
      <sz val="12"/>
      <color rgb="FF3D5A2A"/>
      <name val="Calibri"/>
      <family val="0"/>
      <charset val="1"/>
    </font>
    <font>
      <b val="true"/>
      <sz val="11"/>
      <color rgb="FF2C2C2C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D5A2A"/>
      <name val="Calibri"/>
      <family val="0"/>
      <charset val="1"/>
    </font>
    <font>
      <b val="true"/>
      <sz val="14"/>
      <color rgb="FF3D5A2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D5A2A"/>
        <bgColor rgb="FF4A6B32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CF3CF"/>
      </patternFill>
    </fill>
    <fill>
      <patternFill patternType="solid">
        <fgColor rgb="FFFCF3CF"/>
        <bgColor rgb="FFFDEBD0"/>
      </patternFill>
    </fill>
    <fill>
      <patternFill patternType="solid">
        <fgColor rgb="FFD5F5E3"/>
        <bgColor rgb="FFCCFFFF"/>
      </patternFill>
    </fill>
    <fill>
      <patternFill patternType="solid">
        <fgColor rgb="FFF5F0E8"/>
        <bgColor rgb="FFFCF3C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3D5A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C2C2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8B6914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6891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0C0C0"/>
      <rgbColor rgb="FF888888"/>
      <rgbColor rgb="FF9999FF"/>
      <rgbColor rgb="FF993366"/>
      <rgbColor rgb="FFFCF3CF"/>
      <rgbColor rgb="FFF5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D68910"/>
      <rgbColor rgb="FFFF6600"/>
      <rgbColor rgb="FF4A6B32"/>
      <rgbColor rgb="FF969696"/>
      <rgbColor rgb="FF003366"/>
      <rgbColor rgb="FF27AE60"/>
      <rgbColor rgb="FF003300"/>
      <rgbColor rgb="FF3D5A2A"/>
      <rgbColor rgb="FFC0392B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6.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6.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5" t="s">
        <v>10</v>
      </c>
      <c r="B13" s="6" t="s">
        <v>11</v>
      </c>
    </row>
    <row r="14" customFormat="false" ht="15" hidden="false" customHeight="false" outlineLevel="0" collapsed="false">
      <c r="A14" s="5" t="s">
        <v>12</v>
      </c>
      <c r="B14" s="6" t="s">
        <v>13</v>
      </c>
    </row>
    <row r="15" customFormat="false" ht="15" hidden="false" customHeight="false" outlineLevel="0" collapsed="false">
      <c r="A15" s="5" t="s">
        <v>14</v>
      </c>
      <c r="B15" s="6" t="s">
        <v>15</v>
      </c>
    </row>
    <row r="16" customFormat="false" ht="15" hidden="false" customHeight="false" outlineLevel="0" collapsed="false">
      <c r="A16" s="5" t="s">
        <v>16</v>
      </c>
      <c r="B16" s="6" t="s">
        <v>17</v>
      </c>
    </row>
    <row r="17" customFormat="false" ht="15" hidden="false" customHeight="false" outlineLevel="0" collapsed="false">
      <c r="A17" s="5" t="s">
        <v>18</v>
      </c>
      <c r="B17" s="6" t="s">
        <v>19</v>
      </c>
    </row>
    <row r="18" customFormat="false" ht="15" hidden="false" customHeight="false" outlineLevel="0" collapsed="false">
      <c r="A18" s="5" t="s">
        <v>20</v>
      </c>
      <c r="B18" s="6" t="s">
        <v>21</v>
      </c>
    </row>
    <row r="19" customFormat="false" ht="15" hidden="false" customHeight="false" outlineLevel="0" collapsed="false">
      <c r="A19" s="5" t="s">
        <v>22</v>
      </c>
      <c r="B19" s="6" t="s">
        <v>23</v>
      </c>
    </row>
    <row r="20" customFormat="false" ht="15" hidden="false" customHeight="false" outlineLevel="0" collapsed="false">
      <c r="A20" s="5" t="s">
        <v>24</v>
      </c>
      <c r="B20" s="6" t="s">
        <v>25</v>
      </c>
    </row>
    <row r="21" customFormat="false" ht="15" hidden="false" customHeight="false" outlineLevel="0" collapsed="false">
      <c r="A21" s="5" t="s">
        <v>26</v>
      </c>
      <c r="B21" s="6" t="s">
        <v>27</v>
      </c>
    </row>
    <row r="22" customFormat="false" ht="15" hidden="false" customHeight="false" outlineLevel="0" collapsed="false">
      <c r="A22" s="5" t="s">
        <v>28</v>
      </c>
      <c r="B22" s="6" t="s">
        <v>29</v>
      </c>
    </row>
    <row r="23" customFormat="false" ht="15" hidden="false" customHeight="false" outlineLevel="0" collapsed="false">
      <c r="A23" s="5" t="s">
        <v>30</v>
      </c>
      <c r="B23" s="6" t="s">
        <v>31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8" min="7" style="0" width="38"/>
    <col collapsed="false" customWidth="true" hidden="false" outlineLevel="0" max="9" min="9" style="0" width="12"/>
    <col collapsed="false" customWidth="true" hidden="false" outlineLevel="0" max="10" min="10" style="0" width="38"/>
    <col collapsed="false" customWidth="true" hidden="false" outlineLevel="0" max="11" min="11" style="0" width="32"/>
  </cols>
  <sheetData>
    <row r="1" customFormat="false" ht="15" hidden="false" customHeight="false" outlineLevel="0" collapsed="false">
      <c r="A1" s="8" t="s">
        <v>10</v>
      </c>
      <c r="B1" s="8" t="s">
        <v>12</v>
      </c>
      <c r="C1" s="8" t="s">
        <v>14</v>
      </c>
      <c r="D1" s="8" t="s">
        <v>16</v>
      </c>
      <c r="E1" s="8" t="s">
        <v>18</v>
      </c>
      <c r="F1" s="8" t="s">
        <v>20</v>
      </c>
      <c r="G1" s="8" t="s">
        <v>22</v>
      </c>
      <c r="H1" s="8" t="s">
        <v>24</v>
      </c>
      <c r="I1" s="8" t="s">
        <v>26</v>
      </c>
      <c r="J1" s="8" t="s">
        <v>28</v>
      </c>
      <c r="K1" s="8" t="s">
        <v>30</v>
      </c>
    </row>
    <row r="2" customFormat="false" ht="23.85" hidden="false" customHeight="false" outlineLevel="0" collapsed="false">
      <c r="A2" s="9" t="s">
        <v>33</v>
      </c>
      <c r="B2" s="9" t="s">
        <v>34</v>
      </c>
      <c r="C2" s="9" t="s">
        <v>35</v>
      </c>
      <c r="D2" s="9" t="s">
        <v>36</v>
      </c>
      <c r="E2" s="9" t="s">
        <v>37</v>
      </c>
      <c r="F2" s="9" t="s">
        <v>38</v>
      </c>
      <c r="G2" s="9" t="s">
        <v>39</v>
      </c>
      <c r="H2" s="9" t="s">
        <v>40</v>
      </c>
      <c r="I2" s="10" t="s">
        <v>41</v>
      </c>
      <c r="J2" s="9" t="s">
        <v>42</v>
      </c>
      <c r="K2" s="9" t="s">
        <v>43</v>
      </c>
    </row>
    <row r="3" customFormat="false" ht="23.85" hidden="false" customHeight="false" outlineLevel="0" collapsed="false">
      <c r="A3" s="9" t="s">
        <v>44</v>
      </c>
      <c r="B3" s="9" t="s">
        <v>45</v>
      </c>
      <c r="C3" s="9" t="s">
        <v>35</v>
      </c>
      <c r="D3" s="9" t="s">
        <v>36</v>
      </c>
      <c r="E3" s="9" t="s">
        <v>37</v>
      </c>
      <c r="F3" s="9" t="s">
        <v>46</v>
      </c>
      <c r="G3" s="9" t="s">
        <v>47</v>
      </c>
      <c r="H3" s="9" t="s">
        <v>48</v>
      </c>
      <c r="I3" s="10" t="s">
        <v>41</v>
      </c>
      <c r="J3" s="9" t="s">
        <v>49</v>
      </c>
      <c r="K3" s="9" t="s">
        <v>50</v>
      </c>
    </row>
    <row r="4" customFormat="false" ht="23.85" hidden="false" customHeight="false" outlineLevel="0" collapsed="false">
      <c r="A4" s="9" t="s">
        <v>51</v>
      </c>
      <c r="B4" s="9" t="s">
        <v>52</v>
      </c>
      <c r="C4" s="9" t="s">
        <v>35</v>
      </c>
      <c r="D4" s="9" t="s">
        <v>53</v>
      </c>
      <c r="E4" s="9" t="s">
        <v>37</v>
      </c>
      <c r="F4" s="9" t="s">
        <v>54</v>
      </c>
      <c r="G4" s="9" t="s">
        <v>55</v>
      </c>
      <c r="H4" s="9" t="s">
        <v>56</v>
      </c>
      <c r="I4" s="11" t="s">
        <v>57</v>
      </c>
      <c r="J4" s="9" t="s">
        <v>58</v>
      </c>
      <c r="K4" s="9" t="s">
        <v>59</v>
      </c>
    </row>
    <row r="5" customFormat="false" ht="23.85" hidden="false" customHeight="false" outlineLevel="0" collapsed="false">
      <c r="A5" s="9" t="s">
        <v>60</v>
      </c>
      <c r="B5" s="9" t="s">
        <v>61</v>
      </c>
      <c r="C5" s="9" t="s">
        <v>35</v>
      </c>
      <c r="D5" s="9" t="s">
        <v>53</v>
      </c>
      <c r="E5" s="9" t="s">
        <v>62</v>
      </c>
      <c r="F5" s="9" t="s">
        <v>63</v>
      </c>
      <c r="G5" s="9" t="s">
        <v>64</v>
      </c>
      <c r="H5" s="9" t="s">
        <v>65</v>
      </c>
      <c r="I5" s="11" t="s">
        <v>57</v>
      </c>
      <c r="J5" s="9" t="s">
        <v>66</v>
      </c>
      <c r="K5" s="9" t="s">
        <v>67</v>
      </c>
    </row>
    <row r="6" customFormat="false" ht="23.85" hidden="false" customHeight="false" outlineLevel="0" collapsed="false">
      <c r="A6" s="9" t="s">
        <v>68</v>
      </c>
      <c r="B6" s="9" t="s">
        <v>69</v>
      </c>
      <c r="C6" s="9" t="s">
        <v>35</v>
      </c>
      <c r="D6" s="9" t="s">
        <v>53</v>
      </c>
      <c r="E6" s="9" t="s">
        <v>62</v>
      </c>
      <c r="F6" s="9" t="s">
        <v>70</v>
      </c>
      <c r="G6" s="9" t="s">
        <v>71</v>
      </c>
      <c r="H6" s="9" t="s">
        <v>72</v>
      </c>
      <c r="I6" s="11" t="s">
        <v>57</v>
      </c>
      <c r="J6" s="9" t="s">
        <v>73</v>
      </c>
      <c r="K6" s="9" t="s">
        <v>74</v>
      </c>
    </row>
    <row r="7" customFormat="false" ht="23.85" hidden="false" customHeight="false" outlineLevel="0" collapsed="false">
      <c r="A7" s="9" t="s">
        <v>75</v>
      </c>
      <c r="B7" s="9" t="s">
        <v>76</v>
      </c>
      <c r="C7" s="9" t="s">
        <v>35</v>
      </c>
      <c r="D7" s="9" t="s">
        <v>53</v>
      </c>
      <c r="E7" s="9" t="s">
        <v>62</v>
      </c>
      <c r="F7" s="9" t="s">
        <v>77</v>
      </c>
      <c r="G7" s="9" t="s">
        <v>78</v>
      </c>
      <c r="H7" s="9" t="s">
        <v>79</v>
      </c>
      <c r="I7" s="12" t="s">
        <v>80</v>
      </c>
      <c r="J7" s="9" t="s">
        <v>73</v>
      </c>
      <c r="K7" s="9" t="s">
        <v>81</v>
      </c>
    </row>
    <row r="8" customFormat="false" ht="23.85" hidden="false" customHeight="false" outlineLevel="0" collapsed="false">
      <c r="A8" s="9" t="s">
        <v>82</v>
      </c>
      <c r="B8" s="9" t="s">
        <v>83</v>
      </c>
      <c r="C8" s="9" t="s">
        <v>84</v>
      </c>
      <c r="D8" s="9" t="s">
        <v>85</v>
      </c>
      <c r="E8" s="9" t="s">
        <v>86</v>
      </c>
      <c r="F8" s="9" t="s">
        <v>87</v>
      </c>
      <c r="G8" s="9" t="s">
        <v>88</v>
      </c>
      <c r="H8" s="9" t="s">
        <v>89</v>
      </c>
      <c r="I8" s="10" t="s">
        <v>41</v>
      </c>
      <c r="J8" s="9" t="s">
        <v>90</v>
      </c>
      <c r="K8" s="9" t="s">
        <v>91</v>
      </c>
    </row>
    <row r="9" customFormat="false" ht="23.85" hidden="false" customHeight="false" outlineLevel="0" collapsed="false">
      <c r="A9" s="9" t="s">
        <v>92</v>
      </c>
      <c r="B9" s="9" t="s">
        <v>93</v>
      </c>
      <c r="C9" s="9" t="s">
        <v>84</v>
      </c>
      <c r="D9" s="9" t="s">
        <v>85</v>
      </c>
      <c r="E9" s="9" t="s">
        <v>86</v>
      </c>
      <c r="F9" s="9" t="s">
        <v>94</v>
      </c>
      <c r="G9" s="9" t="s">
        <v>95</v>
      </c>
      <c r="H9" s="9" t="s">
        <v>96</v>
      </c>
      <c r="I9" s="10" t="s">
        <v>41</v>
      </c>
      <c r="J9" s="9" t="s">
        <v>97</v>
      </c>
      <c r="K9" s="9" t="s">
        <v>98</v>
      </c>
    </row>
    <row r="10" customFormat="false" ht="23.85" hidden="false" customHeight="false" outlineLevel="0" collapsed="false">
      <c r="A10" s="9" t="s">
        <v>99</v>
      </c>
      <c r="B10" s="9" t="s">
        <v>100</v>
      </c>
      <c r="C10" s="9" t="s">
        <v>84</v>
      </c>
      <c r="D10" s="9" t="s">
        <v>85</v>
      </c>
      <c r="E10" s="9" t="s">
        <v>37</v>
      </c>
      <c r="F10" s="9" t="s">
        <v>101</v>
      </c>
      <c r="G10" s="9" t="s">
        <v>102</v>
      </c>
      <c r="H10" s="9" t="s">
        <v>103</v>
      </c>
      <c r="I10" s="11" t="s">
        <v>57</v>
      </c>
      <c r="J10" s="9" t="s">
        <v>104</v>
      </c>
      <c r="K10" s="9" t="s">
        <v>105</v>
      </c>
    </row>
    <row r="11" customFormat="false" ht="23.85" hidden="false" customHeight="false" outlineLevel="0" collapsed="false">
      <c r="A11" s="9" t="s">
        <v>106</v>
      </c>
      <c r="B11" s="9" t="s">
        <v>107</v>
      </c>
      <c r="C11" s="9" t="s">
        <v>84</v>
      </c>
      <c r="D11" s="9" t="s">
        <v>85</v>
      </c>
      <c r="E11" s="9" t="s">
        <v>37</v>
      </c>
      <c r="F11" s="9" t="s">
        <v>101</v>
      </c>
      <c r="G11" s="9" t="s">
        <v>108</v>
      </c>
      <c r="H11" s="9" t="s">
        <v>109</v>
      </c>
      <c r="I11" s="11" t="s">
        <v>57</v>
      </c>
      <c r="J11" s="9" t="s">
        <v>110</v>
      </c>
      <c r="K11" s="9" t="s">
        <v>111</v>
      </c>
    </row>
    <row r="12" customFormat="false" ht="23.85" hidden="false" customHeight="false" outlineLevel="0" collapsed="false">
      <c r="A12" s="9" t="s">
        <v>112</v>
      </c>
      <c r="B12" s="9" t="s">
        <v>113</v>
      </c>
      <c r="C12" s="9" t="s">
        <v>84</v>
      </c>
      <c r="D12" s="9" t="s">
        <v>114</v>
      </c>
      <c r="E12" s="9" t="s">
        <v>115</v>
      </c>
      <c r="F12" s="9" t="s">
        <v>116</v>
      </c>
      <c r="G12" s="9" t="s">
        <v>117</v>
      </c>
      <c r="H12" s="9" t="s">
        <v>118</v>
      </c>
      <c r="I12" s="11" t="s">
        <v>57</v>
      </c>
      <c r="J12" s="9" t="s">
        <v>119</v>
      </c>
      <c r="K12" s="9" t="s">
        <v>120</v>
      </c>
    </row>
    <row r="13" customFormat="false" ht="23.85" hidden="false" customHeight="false" outlineLevel="0" collapsed="false">
      <c r="A13" s="9" t="s">
        <v>121</v>
      </c>
      <c r="B13" s="9" t="s">
        <v>122</v>
      </c>
      <c r="C13" s="9" t="s">
        <v>84</v>
      </c>
      <c r="D13" s="9" t="s">
        <v>114</v>
      </c>
      <c r="E13" s="9" t="s">
        <v>37</v>
      </c>
      <c r="F13" s="9" t="s">
        <v>123</v>
      </c>
      <c r="G13" s="9" t="s">
        <v>124</v>
      </c>
      <c r="H13" s="9" t="s">
        <v>125</v>
      </c>
      <c r="I13" s="10" t="s">
        <v>41</v>
      </c>
      <c r="J13" s="9" t="s">
        <v>126</v>
      </c>
      <c r="K13" s="9" t="s">
        <v>127</v>
      </c>
    </row>
    <row r="14" customFormat="false" ht="15" hidden="false" customHeight="false" outlineLevel="0" collapsed="false">
      <c r="A14" s="9" t="s">
        <v>128</v>
      </c>
      <c r="B14" s="9" t="s">
        <v>129</v>
      </c>
      <c r="C14" s="9" t="s">
        <v>84</v>
      </c>
      <c r="D14" s="9" t="s">
        <v>114</v>
      </c>
      <c r="E14" s="9" t="s">
        <v>37</v>
      </c>
      <c r="F14" s="9" t="s">
        <v>130</v>
      </c>
      <c r="G14" s="9" t="s">
        <v>131</v>
      </c>
      <c r="H14" s="9" t="s">
        <v>132</v>
      </c>
      <c r="I14" s="11" t="s">
        <v>57</v>
      </c>
      <c r="J14" s="9" t="s">
        <v>133</v>
      </c>
      <c r="K14" s="9" t="s">
        <v>134</v>
      </c>
    </row>
    <row r="15" customFormat="false" ht="23.85" hidden="false" customHeight="false" outlineLevel="0" collapsed="false">
      <c r="A15" s="9" t="s">
        <v>135</v>
      </c>
      <c r="B15" s="9" t="s">
        <v>136</v>
      </c>
      <c r="C15" s="9" t="s">
        <v>84</v>
      </c>
      <c r="D15" s="9" t="s">
        <v>114</v>
      </c>
      <c r="E15" s="9" t="s">
        <v>115</v>
      </c>
      <c r="F15" s="9" t="s">
        <v>137</v>
      </c>
      <c r="G15" s="9" t="s">
        <v>138</v>
      </c>
      <c r="H15" s="9" t="s">
        <v>139</v>
      </c>
      <c r="I15" s="12" t="s">
        <v>80</v>
      </c>
      <c r="J15" s="9" t="s">
        <v>140</v>
      </c>
      <c r="K15" s="9" t="s">
        <v>141</v>
      </c>
    </row>
    <row r="16" customFormat="false" ht="23.85" hidden="false" customHeight="false" outlineLevel="0" collapsed="false">
      <c r="A16" s="9" t="s">
        <v>142</v>
      </c>
      <c r="B16" s="9" t="s">
        <v>143</v>
      </c>
      <c r="C16" s="9" t="s">
        <v>144</v>
      </c>
      <c r="D16" s="9" t="s">
        <v>145</v>
      </c>
      <c r="E16" s="9" t="s">
        <v>37</v>
      </c>
      <c r="F16" s="9" t="s">
        <v>146</v>
      </c>
      <c r="G16" s="9" t="s">
        <v>47</v>
      </c>
      <c r="H16" s="9" t="s">
        <v>147</v>
      </c>
      <c r="I16" s="10" t="s">
        <v>41</v>
      </c>
      <c r="J16" s="9" t="s">
        <v>148</v>
      </c>
      <c r="K16" s="9" t="s">
        <v>149</v>
      </c>
    </row>
    <row r="17" customFormat="false" ht="23.85" hidden="false" customHeight="false" outlineLevel="0" collapsed="false">
      <c r="A17" s="9" t="s">
        <v>150</v>
      </c>
      <c r="B17" s="9" t="s">
        <v>151</v>
      </c>
      <c r="C17" s="9" t="s">
        <v>144</v>
      </c>
      <c r="D17" s="9" t="s">
        <v>152</v>
      </c>
      <c r="E17" s="9" t="s">
        <v>37</v>
      </c>
      <c r="F17" s="9" t="s">
        <v>153</v>
      </c>
      <c r="G17" s="9" t="s">
        <v>154</v>
      </c>
      <c r="H17" s="9" t="s">
        <v>155</v>
      </c>
      <c r="I17" s="12" t="s">
        <v>80</v>
      </c>
      <c r="J17" s="9" t="s">
        <v>156</v>
      </c>
      <c r="K17" s="9" t="s">
        <v>157</v>
      </c>
    </row>
    <row r="18" customFormat="false" ht="23.85" hidden="false" customHeight="false" outlineLevel="0" collapsed="false">
      <c r="A18" s="9" t="s">
        <v>158</v>
      </c>
      <c r="B18" s="9" t="s">
        <v>159</v>
      </c>
      <c r="C18" s="9" t="s">
        <v>144</v>
      </c>
      <c r="D18" s="9" t="s">
        <v>160</v>
      </c>
      <c r="E18" s="9" t="s">
        <v>37</v>
      </c>
      <c r="F18" s="9" t="s">
        <v>161</v>
      </c>
      <c r="G18" s="9" t="s">
        <v>162</v>
      </c>
      <c r="H18" s="9" t="s">
        <v>163</v>
      </c>
      <c r="I18" s="13" t="s">
        <v>164</v>
      </c>
      <c r="J18" s="9" t="s">
        <v>165</v>
      </c>
      <c r="K18" s="9" t="s">
        <v>166</v>
      </c>
    </row>
    <row r="19" customFormat="false" ht="23.85" hidden="false" customHeight="false" outlineLevel="0" collapsed="false">
      <c r="A19" s="9" t="s">
        <v>167</v>
      </c>
      <c r="B19" s="9" t="s">
        <v>168</v>
      </c>
      <c r="C19" s="9" t="s">
        <v>169</v>
      </c>
      <c r="D19" s="9" t="s">
        <v>170</v>
      </c>
      <c r="E19" s="9" t="s">
        <v>37</v>
      </c>
      <c r="F19" s="9" t="s">
        <v>171</v>
      </c>
      <c r="G19" s="9" t="s">
        <v>47</v>
      </c>
      <c r="H19" s="9" t="s">
        <v>172</v>
      </c>
      <c r="I19" s="10" t="s">
        <v>41</v>
      </c>
      <c r="J19" s="9" t="s">
        <v>173</v>
      </c>
      <c r="K19" s="9" t="s">
        <v>174</v>
      </c>
    </row>
    <row r="20" customFormat="false" ht="23.85" hidden="false" customHeight="false" outlineLevel="0" collapsed="false">
      <c r="A20" s="9" t="s">
        <v>175</v>
      </c>
      <c r="B20" s="9" t="s">
        <v>176</v>
      </c>
      <c r="C20" s="9" t="s">
        <v>169</v>
      </c>
      <c r="D20" s="9" t="s">
        <v>170</v>
      </c>
      <c r="E20" s="9" t="s">
        <v>115</v>
      </c>
      <c r="F20" s="9" t="s">
        <v>177</v>
      </c>
      <c r="G20" s="9" t="s">
        <v>47</v>
      </c>
      <c r="H20" s="9" t="s">
        <v>178</v>
      </c>
      <c r="I20" s="11" t="s">
        <v>57</v>
      </c>
      <c r="J20" s="9" t="s">
        <v>179</v>
      </c>
      <c r="K20" s="9" t="s">
        <v>180</v>
      </c>
    </row>
    <row r="21" customFormat="false" ht="23.85" hidden="false" customHeight="false" outlineLevel="0" collapsed="false">
      <c r="A21" s="9" t="s">
        <v>181</v>
      </c>
      <c r="B21" s="9" t="s">
        <v>182</v>
      </c>
      <c r="C21" s="9" t="s">
        <v>169</v>
      </c>
      <c r="D21" s="9" t="s">
        <v>170</v>
      </c>
      <c r="E21" s="9" t="s">
        <v>37</v>
      </c>
      <c r="F21" s="9" t="s">
        <v>183</v>
      </c>
      <c r="G21" s="9" t="s">
        <v>47</v>
      </c>
      <c r="H21" s="9" t="s">
        <v>184</v>
      </c>
      <c r="I21" s="12" t="s">
        <v>80</v>
      </c>
      <c r="J21" s="9" t="s">
        <v>185</v>
      </c>
      <c r="K21" s="9" t="s">
        <v>186</v>
      </c>
    </row>
    <row r="22" customFormat="false" ht="23.85" hidden="false" customHeight="false" outlineLevel="0" collapsed="false">
      <c r="A22" s="9" t="s">
        <v>187</v>
      </c>
      <c r="B22" s="9" t="s">
        <v>188</v>
      </c>
      <c r="C22" s="9" t="s">
        <v>169</v>
      </c>
      <c r="D22" s="9" t="s">
        <v>189</v>
      </c>
      <c r="E22" s="9" t="s">
        <v>62</v>
      </c>
      <c r="F22" s="9" t="s">
        <v>190</v>
      </c>
      <c r="G22" s="9" t="s">
        <v>47</v>
      </c>
      <c r="H22" s="9" t="s">
        <v>191</v>
      </c>
      <c r="I22" s="12" t="s">
        <v>80</v>
      </c>
      <c r="J22" s="9" t="s">
        <v>192</v>
      </c>
      <c r="K22" s="9" t="s">
        <v>193</v>
      </c>
    </row>
    <row r="23" customFormat="false" ht="15" hidden="false" customHeight="false" outlineLevel="0" collapsed="false">
      <c r="A23" s="9" t="s">
        <v>194</v>
      </c>
      <c r="B23" s="9" t="s">
        <v>195</v>
      </c>
      <c r="C23" s="9" t="s">
        <v>196</v>
      </c>
      <c r="D23" s="9" t="s">
        <v>197</v>
      </c>
      <c r="E23" s="9" t="s">
        <v>86</v>
      </c>
      <c r="F23" s="9" t="s">
        <v>198</v>
      </c>
      <c r="G23" s="9" t="s">
        <v>199</v>
      </c>
      <c r="H23" s="9" t="s">
        <v>200</v>
      </c>
      <c r="I23" s="11" t="s">
        <v>57</v>
      </c>
      <c r="J23" s="9" t="s">
        <v>201</v>
      </c>
      <c r="K23" s="9" t="s">
        <v>202</v>
      </c>
    </row>
    <row r="24" customFormat="false" ht="23.85" hidden="false" customHeight="false" outlineLevel="0" collapsed="false">
      <c r="A24" s="9" t="s">
        <v>203</v>
      </c>
      <c r="B24" s="9" t="s">
        <v>204</v>
      </c>
      <c r="C24" s="9" t="s">
        <v>196</v>
      </c>
      <c r="D24" s="9" t="s">
        <v>205</v>
      </c>
      <c r="E24" s="9" t="s">
        <v>86</v>
      </c>
      <c r="F24" s="9" t="s">
        <v>198</v>
      </c>
      <c r="G24" s="9" t="s">
        <v>206</v>
      </c>
      <c r="H24" s="9" t="s">
        <v>207</v>
      </c>
      <c r="I24" s="11" t="s">
        <v>57</v>
      </c>
      <c r="J24" s="9" t="s">
        <v>208</v>
      </c>
      <c r="K24" s="9" t="s">
        <v>209</v>
      </c>
    </row>
    <row r="25" customFormat="false" ht="23.85" hidden="false" customHeight="false" outlineLevel="0" collapsed="false">
      <c r="A25" s="9" t="s">
        <v>210</v>
      </c>
      <c r="B25" s="9" t="s">
        <v>211</v>
      </c>
      <c r="C25" s="9" t="s">
        <v>196</v>
      </c>
      <c r="D25" s="9" t="s">
        <v>212</v>
      </c>
      <c r="E25" s="9" t="s">
        <v>213</v>
      </c>
      <c r="F25" s="9" t="s">
        <v>214</v>
      </c>
      <c r="G25" s="9" t="s">
        <v>215</v>
      </c>
      <c r="H25" s="9" t="s">
        <v>216</v>
      </c>
      <c r="I25" s="12" t="s">
        <v>80</v>
      </c>
      <c r="J25" s="9" t="s">
        <v>217</v>
      </c>
      <c r="K25" s="9" t="s">
        <v>218</v>
      </c>
    </row>
    <row r="26" customFormat="false" ht="15" hidden="false" customHeight="false" outlineLevel="0" collapsed="false">
      <c r="A26" s="9" t="s">
        <v>219</v>
      </c>
      <c r="B26" s="9" t="s">
        <v>220</v>
      </c>
      <c r="C26" s="9" t="s">
        <v>196</v>
      </c>
      <c r="D26" s="9" t="s">
        <v>221</v>
      </c>
      <c r="E26" s="9" t="s">
        <v>62</v>
      </c>
      <c r="F26" s="9" t="s">
        <v>222</v>
      </c>
      <c r="G26" s="9" t="s">
        <v>223</v>
      </c>
      <c r="H26" s="9" t="s">
        <v>224</v>
      </c>
      <c r="I26" s="12" t="s">
        <v>80</v>
      </c>
      <c r="J26" s="9" t="s">
        <v>225</v>
      </c>
      <c r="K26" s="9" t="s">
        <v>226</v>
      </c>
    </row>
    <row r="27" customFormat="false" ht="23.85" hidden="false" customHeight="false" outlineLevel="0" collapsed="false">
      <c r="A27" s="9" t="s">
        <v>227</v>
      </c>
      <c r="B27" s="9" t="s">
        <v>228</v>
      </c>
      <c r="C27" s="9" t="s">
        <v>196</v>
      </c>
      <c r="D27" s="9" t="s">
        <v>229</v>
      </c>
      <c r="E27" s="9" t="s">
        <v>230</v>
      </c>
      <c r="F27" s="9" t="s">
        <v>231</v>
      </c>
      <c r="G27" s="9" t="s">
        <v>232</v>
      </c>
      <c r="H27" s="9" t="s">
        <v>233</v>
      </c>
      <c r="I27" s="12" t="s">
        <v>80</v>
      </c>
      <c r="J27" s="9" t="s">
        <v>234</v>
      </c>
      <c r="K27" s="9" t="s">
        <v>235</v>
      </c>
    </row>
    <row r="28" customFormat="false" ht="23.85" hidden="false" customHeight="false" outlineLevel="0" collapsed="false">
      <c r="A28" s="9" t="s">
        <v>236</v>
      </c>
      <c r="B28" s="9" t="s">
        <v>237</v>
      </c>
      <c r="C28" s="9" t="s">
        <v>238</v>
      </c>
      <c r="D28" s="9" t="s">
        <v>239</v>
      </c>
      <c r="E28" s="9" t="s">
        <v>240</v>
      </c>
      <c r="F28" s="9" t="s">
        <v>241</v>
      </c>
      <c r="G28" s="9" t="s">
        <v>242</v>
      </c>
      <c r="H28" s="9" t="s">
        <v>243</v>
      </c>
      <c r="I28" s="11" t="s">
        <v>57</v>
      </c>
      <c r="J28" s="9" t="s">
        <v>244</v>
      </c>
      <c r="K28" s="9" t="s">
        <v>245</v>
      </c>
    </row>
    <row r="29" customFormat="false" ht="15" hidden="false" customHeight="false" outlineLevel="0" collapsed="false">
      <c r="A29" s="9" t="s">
        <v>246</v>
      </c>
      <c r="B29" s="9" t="s">
        <v>247</v>
      </c>
      <c r="C29" s="9" t="s">
        <v>238</v>
      </c>
      <c r="D29" s="9" t="s">
        <v>248</v>
      </c>
      <c r="E29" s="9" t="s">
        <v>249</v>
      </c>
      <c r="F29" s="9" t="s">
        <v>241</v>
      </c>
      <c r="G29" s="9" t="s">
        <v>250</v>
      </c>
      <c r="H29" s="9" t="s">
        <v>251</v>
      </c>
      <c r="I29" s="11" t="s">
        <v>57</v>
      </c>
      <c r="J29" s="9" t="s">
        <v>252</v>
      </c>
      <c r="K29" s="9" t="s">
        <v>253</v>
      </c>
    </row>
    <row r="30" customFormat="false" ht="15" hidden="false" customHeight="false" outlineLevel="0" collapsed="false">
      <c r="A30" s="9" t="s">
        <v>254</v>
      </c>
      <c r="B30" s="9" t="s">
        <v>255</v>
      </c>
      <c r="C30" s="9" t="s">
        <v>238</v>
      </c>
      <c r="D30" s="9" t="s">
        <v>248</v>
      </c>
      <c r="E30" s="9" t="s">
        <v>249</v>
      </c>
      <c r="F30" s="9" t="s">
        <v>241</v>
      </c>
      <c r="G30" s="9" t="s">
        <v>256</v>
      </c>
      <c r="H30" s="9" t="s">
        <v>257</v>
      </c>
      <c r="I30" s="11" t="s">
        <v>57</v>
      </c>
      <c r="J30" s="9" t="s">
        <v>258</v>
      </c>
      <c r="K30" s="9" t="s">
        <v>253</v>
      </c>
    </row>
    <row r="31" customFormat="false" ht="23.85" hidden="false" customHeight="false" outlineLevel="0" collapsed="false">
      <c r="A31" s="9" t="s">
        <v>259</v>
      </c>
      <c r="B31" s="9" t="s">
        <v>260</v>
      </c>
      <c r="C31" s="9" t="s">
        <v>238</v>
      </c>
      <c r="D31" s="9" t="s">
        <v>248</v>
      </c>
      <c r="E31" s="9" t="s">
        <v>261</v>
      </c>
      <c r="F31" s="9" t="s">
        <v>241</v>
      </c>
      <c r="G31" s="9" t="s">
        <v>262</v>
      </c>
      <c r="H31" s="9" t="s">
        <v>263</v>
      </c>
      <c r="I31" s="11" t="s">
        <v>57</v>
      </c>
      <c r="J31" s="9" t="s">
        <v>252</v>
      </c>
      <c r="K31" s="9" t="s">
        <v>264</v>
      </c>
    </row>
    <row r="32" customFormat="false" ht="23.85" hidden="false" customHeight="false" outlineLevel="0" collapsed="false">
      <c r="A32" s="9" t="s">
        <v>265</v>
      </c>
      <c r="B32" s="9" t="s">
        <v>266</v>
      </c>
      <c r="C32" s="9" t="s">
        <v>238</v>
      </c>
      <c r="D32" s="9" t="s">
        <v>267</v>
      </c>
      <c r="E32" s="9" t="s">
        <v>268</v>
      </c>
      <c r="F32" s="9" t="s">
        <v>269</v>
      </c>
      <c r="G32" s="9" t="s">
        <v>270</v>
      </c>
      <c r="H32" s="9" t="s">
        <v>271</v>
      </c>
      <c r="I32" s="11" t="s">
        <v>57</v>
      </c>
      <c r="J32" s="9" t="s">
        <v>272</v>
      </c>
      <c r="K32" s="9" t="s">
        <v>273</v>
      </c>
    </row>
    <row r="33" customFormat="false" ht="15" hidden="false" customHeight="false" outlineLevel="0" collapsed="false">
      <c r="A33" s="9" t="s">
        <v>274</v>
      </c>
      <c r="B33" s="9" t="s">
        <v>275</v>
      </c>
      <c r="C33" s="9" t="s">
        <v>238</v>
      </c>
      <c r="D33" s="9" t="s">
        <v>276</v>
      </c>
      <c r="E33" s="9" t="s">
        <v>277</v>
      </c>
      <c r="F33" s="9" t="s">
        <v>241</v>
      </c>
      <c r="G33" s="9" t="s">
        <v>278</v>
      </c>
      <c r="H33" s="9" t="s">
        <v>279</v>
      </c>
      <c r="I33" s="12" t="s">
        <v>80</v>
      </c>
      <c r="J33" s="9" t="s">
        <v>280</v>
      </c>
      <c r="K33" s="9" t="s">
        <v>281</v>
      </c>
    </row>
    <row r="34" customFormat="false" ht="23.85" hidden="false" customHeight="false" outlineLevel="0" collapsed="false">
      <c r="A34" s="9" t="s">
        <v>282</v>
      </c>
      <c r="B34" s="9" t="s">
        <v>283</v>
      </c>
      <c r="C34" s="9" t="s">
        <v>238</v>
      </c>
      <c r="D34" s="9" t="s">
        <v>284</v>
      </c>
      <c r="E34" s="9" t="s">
        <v>285</v>
      </c>
      <c r="F34" s="9" t="s">
        <v>241</v>
      </c>
      <c r="G34" s="9" t="s">
        <v>286</v>
      </c>
      <c r="H34" s="9" t="s">
        <v>287</v>
      </c>
      <c r="I34" s="12" t="s">
        <v>80</v>
      </c>
      <c r="J34" s="9" t="s">
        <v>288</v>
      </c>
      <c r="K34" s="9" t="s">
        <v>289</v>
      </c>
    </row>
    <row r="35" customFormat="false" ht="23.85" hidden="false" customHeight="false" outlineLevel="0" collapsed="false">
      <c r="A35" s="9" t="s">
        <v>290</v>
      </c>
      <c r="B35" s="9" t="s">
        <v>291</v>
      </c>
      <c r="C35" s="9" t="s">
        <v>238</v>
      </c>
      <c r="D35" s="9" t="s">
        <v>292</v>
      </c>
      <c r="E35" s="9" t="s">
        <v>293</v>
      </c>
      <c r="F35" s="9" t="s">
        <v>241</v>
      </c>
      <c r="G35" s="9" t="s">
        <v>294</v>
      </c>
      <c r="H35" s="9" t="s">
        <v>295</v>
      </c>
      <c r="I35" s="13" t="s">
        <v>164</v>
      </c>
      <c r="J35" s="9" t="s">
        <v>296</v>
      </c>
      <c r="K35" s="9" t="s">
        <v>297</v>
      </c>
    </row>
    <row r="36" customFormat="false" ht="23.85" hidden="false" customHeight="false" outlineLevel="0" collapsed="false">
      <c r="A36" s="9" t="s">
        <v>298</v>
      </c>
      <c r="B36" s="9" t="s">
        <v>299</v>
      </c>
      <c r="C36" s="9" t="s">
        <v>238</v>
      </c>
      <c r="D36" s="9" t="s">
        <v>300</v>
      </c>
      <c r="E36" s="9" t="s">
        <v>37</v>
      </c>
      <c r="F36" s="9" t="s">
        <v>301</v>
      </c>
      <c r="G36" s="9" t="s">
        <v>302</v>
      </c>
      <c r="H36" s="9" t="s">
        <v>303</v>
      </c>
      <c r="I36" s="12" t="s">
        <v>80</v>
      </c>
      <c r="J36" s="9" t="s">
        <v>304</v>
      </c>
      <c r="K36" s="9" t="s">
        <v>305</v>
      </c>
    </row>
    <row r="37" customFormat="false" ht="15" hidden="false" customHeight="false" outlineLevel="0" collapsed="false">
      <c r="A37" s="9" t="s">
        <v>306</v>
      </c>
      <c r="B37" s="9" t="s">
        <v>307</v>
      </c>
      <c r="C37" s="9" t="s">
        <v>238</v>
      </c>
      <c r="D37" s="9" t="s">
        <v>308</v>
      </c>
      <c r="E37" s="9" t="s">
        <v>277</v>
      </c>
      <c r="F37" s="9" t="s">
        <v>241</v>
      </c>
      <c r="G37" s="9" t="s">
        <v>309</v>
      </c>
      <c r="H37" s="9" t="s">
        <v>310</v>
      </c>
      <c r="I37" s="12" t="s">
        <v>80</v>
      </c>
      <c r="J37" s="9" t="s">
        <v>311</v>
      </c>
      <c r="K37" s="9" t="s">
        <v>312</v>
      </c>
    </row>
    <row r="38" customFormat="false" ht="15" hidden="false" customHeight="false" outlineLevel="0" collapsed="false">
      <c r="A38" s="9" t="s">
        <v>313</v>
      </c>
      <c r="B38" s="9" t="s">
        <v>314</v>
      </c>
      <c r="C38" s="9" t="s">
        <v>238</v>
      </c>
      <c r="D38" s="9" t="s">
        <v>315</v>
      </c>
      <c r="E38" s="9" t="s">
        <v>316</v>
      </c>
      <c r="F38" s="9" t="s">
        <v>37</v>
      </c>
      <c r="G38" s="9" t="s">
        <v>317</v>
      </c>
      <c r="H38" s="9" t="s">
        <v>318</v>
      </c>
      <c r="I38" s="13" t="s">
        <v>164</v>
      </c>
      <c r="J38" s="9" t="s">
        <v>319</v>
      </c>
      <c r="K38" s="9" t="s">
        <v>320</v>
      </c>
    </row>
    <row r="39" customFormat="false" ht="23.85" hidden="false" customHeight="false" outlineLevel="0" collapsed="false">
      <c r="A39" s="9" t="s">
        <v>321</v>
      </c>
      <c r="B39" s="9" t="s">
        <v>322</v>
      </c>
      <c r="C39" s="9" t="s">
        <v>323</v>
      </c>
      <c r="D39" s="9" t="s">
        <v>114</v>
      </c>
      <c r="E39" s="9" t="s">
        <v>324</v>
      </c>
      <c r="F39" s="9" t="s">
        <v>325</v>
      </c>
      <c r="G39" s="9" t="s">
        <v>326</v>
      </c>
      <c r="H39" s="9" t="s">
        <v>327</v>
      </c>
      <c r="I39" s="10" t="s">
        <v>41</v>
      </c>
      <c r="J39" s="9" t="s">
        <v>328</v>
      </c>
      <c r="K39" s="9" t="s">
        <v>329</v>
      </c>
    </row>
    <row r="40" customFormat="false" ht="15" hidden="false" customHeight="false" outlineLevel="0" collapsed="false">
      <c r="A40" s="9" t="s">
        <v>330</v>
      </c>
      <c r="B40" s="9" t="s">
        <v>331</v>
      </c>
      <c r="C40" s="9" t="s">
        <v>323</v>
      </c>
      <c r="D40" s="9" t="s">
        <v>114</v>
      </c>
      <c r="E40" s="9" t="s">
        <v>324</v>
      </c>
      <c r="F40" s="9" t="s">
        <v>332</v>
      </c>
      <c r="G40" s="9" t="s">
        <v>333</v>
      </c>
      <c r="H40" s="9" t="s">
        <v>334</v>
      </c>
      <c r="I40" s="11" t="s">
        <v>57</v>
      </c>
      <c r="J40" s="9" t="s">
        <v>335</v>
      </c>
      <c r="K40" s="9" t="s">
        <v>336</v>
      </c>
    </row>
    <row r="41" customFormat="false" ht="23.85" hidden="false" customHeight="false" outlineLevel="0" collapsed="false">
      <c r="A41" s="9" t="s">
        <v>337</v>
      </c>
      <c r="B41" s="9" t="s">
        <v>338</v>
      </c>
      <c r="C41" s="9" t="s">
        <v>323</v>
      </c>
      <c r="D41" s="9" t="s">
        <v>85</v>
      </c>
      <c r="E41" s="9" t="s">
        <v>324</v>
      </c>
      <c r="F41" s="9" t="s">
        <v>339</v>
      </c>
      <c r="G41" s="9" t="s">
        <v>340</v>
      </c>
      <c r="H41" s="9" t="s">
        <v>341</v>
      </c>
      <c r="I41" s="10" t="s">
        <v>41</v>
      </c>
      <c r="J41" s="9" t="s">
        <v>342</v>
      </c>
      <c r="K41" s="9" t="s">
        <v>343</v>
      </c>
    </row>
    <row r="42" customFormat="false" ht="23.85" hidden="false" customHeight="false" outlineLevel="0" collapsed="false">
      <c r="A42" s="9" t="s">
        <v>344</v>
      </c>
      <c r="B42" s="9" t="s">
        <v>345</v>
      </c>
      <c r="C42" s="9" t="s">
        <v>323</v>
      </c>
      <c r="D42" s="9" t="s">
        <v>346</v>
      </c>
      <c r="E42" s="9" t="s">
        <v>347</v>
      </c>
      <c r="F42" s="9" t="s">
        <v>348</v>
      </c>
      <c r="G42" s="9" t="s">
        <v>326</v>
      </c>
      <c r="H42" s="9" t="s">
        <v>349</v>
      </c>
      <c r="I42" s="11" t="s">
        <v>57</v>
      </c>
      <c r="J42" s="9" t="s">
        <v>350</v>
      </c>
      <c r="K42" s="9" t="s">
        <v>351</v>
      </c>
    </row>
    <row r="43" customFormat="false" ht="23.85" hidden="false" customHeight="false" outlineLevel="0" collapsed="false">
      <c r="A43" s="9" t="s">
        <v>352</v>
      </c>
      <c r="B43" s="9" t="s">
        <v>353</v>
      </c>
      <c r="C43" s="9" t="s">
        <v>354</v>
      </c>
      <c r="D43" s="9" t="s">
        <v>355</v>
      </c>
      <c r="E43" s="9" t="s">
        <v>37</v>
      </c>
      <c r="F43" s="9" t="s">
        <v>356</v>
      </c>
      <c r="G43" s="9" t="s">
        <v>357</v>
      </c>
      <c r="H43" s="9" t="s">
        <v>358</v>
      </c>
      <c r="I43" s="11" t="s">
        <v>57</v>
      </c>
      <c r="J43" s="9" t="s">
        <v>359</v>
      </c>
      <c r="K43" s="9" t="s">
        <v>360</v>
      </c>
    </row>
    <row r="44" customFormat="false" ht="15" hidden="false" customHeight="false" outlineLevel="0" collapsed="false">
      <c r="A44" s="9" t="s">
        <v>361</v>
      </c>
      <c r="B44" s="9" t="s">
        <v>362</v>
      </c>
      <c r="C44" s="9" t="s">
        <v>354</v>
      </c>
      <c r="D44" s="9" t="s">
        <v>363</v>
      </c>
      <c r="E44" s="9" t="s">
        <v>37</v>
      </c>
      <c r="F44" s="9" t="s">
        <v>364</v>
      </c>
      <c r="G44" s="9" t="s">
        <v>365</v>
      </c>
      <c r="H44" s="9" t="s">
        <v>366</v>
      </c>
      <c r="I44" s="11" t="s">
        <v>57</v>
      </c>
      <c r="J44" s="9" t="s">
        <v>367</v>
      </c>
      <c r="K44" s="9" t="s">
        <v>368</v>
      </c>
    </row>
    <row r="45" customFormat="false" ht="23.85" hidden="false" customHeight="false" outlineLevel="0" collapsed="false">
      <c r="A45" s="9" t="s">
        <v>369</v>
      </c>
      <c r="B45" s="9" t="s">
        <v>370</v>
      </c>
      <c r="C45" s="9" t="s">
        <v>354</v>
      </c>
      <c r="D45" s="9" t="s">
        <v>371</v>
      </c>
      <c r="E45" s="9" t="s">
        <v>115</v>
      </c>
      <c r="F45" s="9" t="s">
        <v>372</v>
      </c>
      <c r="G45" s="9" t="s">
        <v>373</v>
      </c>
      <c r="H45" s="9" t="s">
        <v>374</v>
      </c>
      <c r="I45" s="11" t="s">
        <v>57</v>
      </c>
      <c r="J45" s="9" t="s">
        <v>375</v>
      </c>
      <c r="K45" s="9" t="s">
        <v>376</v>
      </c>
    </row>
    <row r="46" customFormat="false" ht="15" hidden="false" customHeight="false" outlineLevel="0" collapsed="false">
      <c r="A46" s="9" t="s">
        <v>377</v>
      </c>
      <c r="B46" s="9" t="s">
        <v>378</v>
      </c>
      <c r="C46" s="9" t="s">
        <v>354</v>
      </c>
      <c r="D46" s="9" t="s">
        <v>355</v>
      </c>
      <c r="E46" s="9" t="s">
        <v>115</v>
      </c>
      <c r="F46" s="9" t="s">
        <v>372</v>
      </c>
      <c r="G46" s="9" t="s">
        <v>379</v>
      </c>
      <c r="H46" s="9" t="s">
        <v>374</v>
      </c>
      <c r="I46" s="11" t="s">
        <v>57</v>
      </c>
      <c r="J46" s="9" t="s">
        <v>375</v>
      </c>
      <c r="K46" s="9" t="s">
        <v>380</v>
      </c>
    </row>
    <row r="47" customFormat="false" ht="15" hidden="false" customHeight="false" outlineLevel="0" collapsed="false">
      <c r="A47" s="9" t="s">
        <v>381</v>
      </c>
      <c r="B47" s="9" t="s">
        <v>382</v>
      </c>
      <c r="C47" s="9" t="s">
        <v>354</v>
      </c>
      <c r="D47" s="9" t="s">
        <v>383</v>
      </c>
      <c r="E47" s="9" t="s">
        <v>37</v>
      </c>
      <c r="F47" s="9" t="s">
        <v>364</v>
      </c>
      <c r="G47" s="9" t="s">
        <v>384</v>
      </c>
      <c r="H47" s="9" t="s">
        <v>385</v>
      </c>
      <c r="I47" s="12" t="s">
        <v>80</v>
      </c>
      <c r="J47" s="9" t="s">
        <v>386</v>
      </c>
      <c r="K47" s="9" t="s">
        <v>387</v>
      </c>
    </row>
    <row r="48" customFormat="false" ht="23.85" hidden="false" customHeight="false" outlineLevel="0" collapsed="false">
      <c r="A48" s="9" t="s">
        <v>388</v>
      </c>
      <c r="B48" s="9" t="s">
        <v>389</v>
      </c>
      <c r="C48" s="9" t="s">
        <v>169</v>
      </c>
      <c r="D48" s="9" t="s">
        <v>390</v>
      </c>
      <c r="E48" s="9" t="s">
        <v>391</v>
      </c>
      <c r="F48" s="9" t="s">
        <v>392</v>
      </c>
      <c r="G48" s="9" t="s">
        <v>47</v>
      </c>
      <c r="H48" s="9" t="s">
        <v>393</v>
      </c>
      <c r="I48" s="11" t="s">
        <v>57</v>
      </c>
      <c r="J48" s="9" t="s">
        <v>394</v>
      </c>
      <c r="K48" s="9" t="s">
        <v>395</v>
      </c>
    </row>
    <row r="49" customFormat="false" ht="23.85" hidden="false" customHeight="false" outlineLevel="0" collapsed="false">
      <c r="A49" s="9" t="s">
        <v>396</v>
      </c>
      <c r="B49" s="9" t="s">
        <v>397</v>
      </c>
      <c r="C49" s="9" t="s">
        <v>169</v>
      </c>
      <c r="D49" s="9" t="s">
        <v>170</v>
      </c>
      <c r="E49" s="9" t="s">
        <v>62</v>
      </c>
      <c r="F49" s="9" t="s">
        <v>398</v>
      </c>
      <c r="G49" s="9" t="s">
        <v>399</v>
      </c>
      <c r="H49" s="9" t="s">
        <v>400</v>
      </c>
      <c r="I49" s="12" t="s">
        <v>80</v>
      </c>
      <c r="J49" s="9" t="s">
        <v>401</v>
      </c>
      <c r="K49" s="9" t="s">
        <v>402</v>
      </c>
    </row>
    <row r="50" customFormat="false" ht="23.85" hidden="false" customHeight="false" outlineLevel="0" collapsed="false">
      <c r="A50" s="9" t="s">
        <v>403</v>
      </c>
      <c r="B50" s="9" t="s">
        <v>404</v>
      </c>
      <c r="C50" s="9" t="s">
        <v>169</v>
      </c>
      <c r="D50" s="9" t="s">
        <v>170</v>
      </c>
      <c r="E50" s="9" t="s">
        <v>37</v>
      </c>
      <c r="F50" s="9" t="s">
        <v>405</v>
      </c>
      <c r="G50" s="9" t="s">
        <v>406</v>
      </c>
      <c r="H50" s="9" t="s">
        <v>407</v>
      </c>
      <c r="I50" s="12" t="s">
        <v>80</v>
      </c>
      <c r="J50" s="9" t="s">
        <v>408</v>
      </c>
      <c r="K50" s="9" t="s">
        <v>409</v>
      </c>
    </row>
    <row r="51" customFormat="false" ht="23.85" hidden="false" customHeight="false" outlineLevel="0" collapsed="false">
      <c r="A51" s="9" t="s">
        <v>410</v>
      </c>
      <c r="B51" s="9" t="s">
        <v>411</v>
      </c>
      <c r="C51" s="9" t="s">
        <v>238</v>
      </c>
      <c r="D51" s="9" t="s">
        <v>412</v>
      </c>
      <c r="E51" s="9" t="s">
        <v>37</v>
      </c>
      <c r="F51" s="9" t="s">
        <v>413</v>
      </c>
      <c r="G51" s="9" t="s">
        <v>414</v>
      </c>
      <c r="H51" s="9" t="s">
        <v>415</v>
      </c>
      <c r="I51" s="13" t="s">
        <v>164</v>
      </c>
      <c r="J51" s="9" t="s">
        <v>416</v>
      </c>
      <c r="K51" s="9" t="s">
        <v>417</v>
      </c>
    </row>
    <row r="52" customFormat="false" ht="23.85" hidden="false" customHeight="false" outlineLevel="0" collapsed="false">
      <c r="A52" s="9" t="s">
        <v>418</v>
      </c>
      <c r="B52" s="9" t="s">
        <v>419</v>
      </c>
      <c r="C52" s="9" t="s">
        <v>354</v>
      </c>
      <c r="D52" s="9" t="s">
        <v>420</v>
      </c>
      <c r="E52" s="9" t="s">
        <v>421</v>
      </c>
      <c r="F52" s="9" t="s">
        <v>422</v>
      </c>
      <c r="G52" s="9" t="s">
        <v>423</v>
      </c>
      <c r="H52" s="9" t="s">
        <v>424</v>
      </c>
      <c r="I52" s="12" t="s">
        <v>80</v>
      </c>
      <c r="J52" s="9" t="s">
        <v>425</v>
      </c>
      <c r="K52" s="9" t="s">
        <v>426</v>
      </c>
    </row>
    <row r="53" customFormat="false" ht="23.85" hidden="false" customHeight="false" outlineLevel="0" collapsed="false">
      <c r="A53" s="9" t="s">
        <v>427</v>
      </c>
      <c r="B53" s="9" t="s">
        <v>428</v>
      </c>
      <c r="C53" s="9" t="s">
        <v>323</v>
      </c>
      <c r="D53" s="9" t="s">
        <v>429</v>
      </c>
      <c r="E53" s="9" t="s">
        <v>430</v>
      </c>
      <c r="F53" s="9" t="s">
        <v>431</v>
      </c>
      <c r="G53" s="9" t="s">
        <v>47</v>
      </c>
      <c r="H53" s="9" t="s">
        <v>432</v>
      </c>
      <c r="I53" s="10" t="s">
        <v>41</v>
      </c>
      <c r="J53" s="9" t="s">
        <v>433</v>
      </c>
      <c r="K53" s="9" t="s">
        <v>434</v>
      </c>
    </row>
    <row r="54" customFormat="false" ht="23.85" hidden="false" customHeight="false" outlineLevel="0" collapsed="false">
      <c r="A54" s="9" t="s">
        <v>435</v>
      </c>
      <c r="B54" s="9" t="s">
        <v>436</v>
      </c>
      <c r="C54" s="9" t="s">
        <v>144</v>
      </c>
      <c r="D54" s="9" t="s">
        <v>53</v>
      </c>
      <c r="E54" s="9" t="s">
        <v>430</v>
      </c>
      <c r="F54" s="9" t="s">
        <v>437</v>
      </c>
      <c r="G54" s="9" t="s">
        <v>438</v>
      </c>
      <c r="H54" s="9" t="s">
        <v>439</v>
      </c>
      <c r="I54" s="11" t="s">
        <v>57</v>
      </c>
      <c r="J54" s="9" t="s">
        <v>440</v>
      </c>
      <c r="K54" s="9" t="s">
        <v>441</v>
      </c>
    </row>
  </sheetData>
  <autoFilter ref="A1:K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4" t="s">
        <v>442</v>
      </c>
      <c r="B1" s="14" t="s">
        <v>10</v>
      </c>
      <c r="C1" s="14" t="s">
        <v>443</v>
      </c>
      <c r="D1" s="14" t="s">
        <v>444</v>
      </c>
      <c r="E1" s="14" t="s">
        <v>445</v>
      </c>
      <c r="F1" s="14" t="s">
        <v>446</v>
      </c>
    </row>
    <row r="2" customFormat="false" ht="15" hidden="false" customHeight="false" outlineLevel="0" collapsed="false">
      <c r="A2" s="9" t="s">
        <v>447</v>
      </c>
      <c r="B2" s="9" t="s">
        <v>33</v>
      </c>
      <c r="C2" s="9" t="s">
        <v>448</v>
      </c>
      <c r="D2" s="9" t="s">
        <v>449</v>
      </c>
      <c r="E2" s="9" t="s">
        <v>450</v>
      </c>
      <c r="F2" s="9" t="s">
        <v>451</v>
      </c>
    </row>
    <row r="3" customFormat="false" ht="15" hidden="false" customHeight="false" outlineLevel="0" collapsed="false">
      <c r="A3" s="9" t="s">
        <v>452</v>
      </c>
      <c r="B3" s="9" t="s">
        <v>44</v>
      </c>
      <c r="C3" s="9" t="s">
        <v>448</v>
      </c>
      <c r="D3" s="9" t="s">
        <v>449</v>
      </c>
      <c r="E3" s="9" t="s">
        <v>450</v>
      </c>
      <c r="F3" s="9" t="s">
        <v>453</v>
      </c>
    </row>
    <row r="4" customFormat="false" ht="15" hidden="false" customHeight="false" outlineLevel="0" collapsed="false">
      <c r="A4" s="9" t="s">
        <v>454</v>
      </c>
      <c r="B4" s="9" t="s">
        <v>51</v>
      </c>
      <c r="C4" s="9" t="s">
        <v>455</v>
      </c>
      <c r="D4" s="9" t="s">
        <v>449</v>
      </c>
      <c r="E4" s="9" t="s">
        <v>456</v>
      </c>
      <c r="F4" s="9" t="s">
        <v>457</v>
      </c>
    </row>
    <row r="5" customFormat="false" ht="15" hidden="false" customHeight="false" outlineLevel="0" collapsed="false">
      <c r="A5" s="9" t="s">
        <v>458</v>
      </c>
      <c r="B5" s="9" t="s">
        <v>60</v>
      </c>
      <c r="C5" s="9" t="s">
        <v>459</v>
      </c>
      <c r="D5" s="9" t="s">
        <v>449</v>
      </c>
      <c r="E5" s="9" t="s">
        <v>460</v>
      </c>
      <c r="F5" s="9" t="s">
        <v>461</v>
      </c>
    </row>
    <row r="6" customFormat="false" ht="15" hidden="false" customHeight="false" outlineLevel="0" collapsed="false">
      <c r="A6" s="9" t="s">
        <v>462</v>
      </c>
      <c r="B6" s="9" t="s">
        <v>68</v>
      </c>
      <c r="C6" s="9" t="s">
        <v>459</v>
      </c>
      <c r="D6" s="9" t="s">
        <v>449</v>
      </c>
      <c r="E6" s="9" t="s">
        <v>463</v>
      </c>
      <c r="F6" s="9" t="s">
        <v>461</v>
      </c>
    </row>
    <row r="7" customFormat="false" ht="15" hidden="false" customHeight="false" outlineLevel="0" collapsed="false">
      <c r="A7" s="9" t="s">
        <v>464</v>
      </c>
      <c r="B7" s="9" t="s">
        <v>75</v>
      </c>
      <c r="C7" s="9" t="s">
        <v>459</v>
      </c>
      <c r="D7" s="9" t="s">
        <v>449</v>
      </c>
      <c r="E7" s="9" t="s">
        <v>465</v>
      </c>
      <c r="F7" s="9" t="s">
        <v>461</v>
      </c>
    </row>
    <row r="8" customFormat="false" ht="15" hidden="false" customHeight="false" outlineLevel="0" collapsed="false">
      <c r="A8" s="9" t="s">
        <v>466</v>
      </c>
      <c r="B8" s="9" t="s">
        <v>337</v>
      </c>
      <c r="C8" s="9" t="s">
        <v>467</v>
      </c>
      <c r="D8" s="9" t="s">
        <v>468</v>
      </c>
      <c r="E8" s="9" t="s">
        <v>469</v>
      </c>
      <c r="F8" s="9" t="s">
        <v>470</v>
      </c>
    </row>
    <row r="9" customFormat="false" ht="15" hidden="false" customHeight="false" outlineLevel="0" collapsed="false">
      <c r="A9" s="9" t="s">
        <v>471</v>
      </c>
      <c r="B9" s="9" t="s">
        <v>82</v>
      </c>
      <c r="C9" s="9" t="s">
        <v>472</v>
      </c>
      <c r="D9" s="9" t="s">
        <v>473</v>
      </c>
      <c r="E9" s="9" t="s">
        <v>474</v>
      </c>
      <c r="F9" s="9" t="s">
        <v>475</v>
      </c>
    </row>
    <row r="10" customFormat="false" ht="15" hidden="false" customHeight="false" outlineLevel="0" collapsed="false">
      <c r="A10" s="9" t="s">
        <v>476</v>
      </c>
      <c r="B10" s="9" t="s">
        <v>92</v>
      </c>
      <c r="C10" s="9" t="s">
        <v>472</v>
      </c>
      <c r="D10" s="9" t="s">
        <v>473</v>
      </c>
      <c r="E10" s="9" t="s">
        <v>474</v>
      </c>
      <c r="F10" s="9" t="s">
        <v>477</v>
      </c>
    </row>
    <row r="11" customFormat="false" ht="15" hidden="false" customHeight="false" outlineLevel="0" collapsed="false">
      <c r="A11" s="9" t="s">
        <v>478</v>
      </c>
      <c r="B11" s="9" t="s">
        <v>99</v>
      </c>
      <c r="C11" s="9" t="s">
        <v>467</v>
      </c>
      <c r="D11" s="9" t="s">
        <v>468</v>
      </c>
      <c r="E11" s="9" t="s">
        <v>479</v>
      </c>
      <c r="F11" s="9" t="s">
        <v>480</v>
      </c>
    </row>
    <row r="12" customFormat="false" ht="15" hidden="false" customHeight="false" outlineLevel="0" collapsed="false">
      <c r="A12" s="9" t="s">
        <v>481</v>
      </c>
      <c r="B12" s="9" t="s">
        <v>106</v>
      </c>
      <c r="C12" s="9" t="s">
        <v>467</v>
      </c>
      <c r="D12" s="9" t="s">
        <v>468</v>
      </c>
      <c r="E12" s="9" t="s">
        <v>482</v>
      </c>
      <c r="F12" s="9" t="s">
        <v>483</v>
      </c>
    </row>
    <row r="13" customFormat="false" ht="15" hidden="false" customHeight="false" outlineLevel="0" collapsed="false">
      <c r="A13" s="9" t="s">
        <v>484</v>
      </c>
      <c r="B13" s="9" t="s">
        <v>330</v>
      </c>
      <c r="C13" s="9" t="s">
        <v>485</v>
      </c>
      <c r="D13" s="9" t="s">
        <v>449</v>
      </c>
      <c r="E13" s="9" t="s">
        <v>474</v>
      </c>
      <c r="F13" s="9" t="s">
        <v>486</v>
      </c>
    </row>
    <row r="14" customFormat="false" ht="15" hidden="false" customHeight="false" outlineLevel="0" collapsed="false">
      <c r="A14" s="9" t="s">
        <v>487</v>
      </c>
      <c r="B14" s="9" t="s">
        <v>112</v>
      </c>
      <c r="C14" s="9" t="s">
        <v>488</v>
      </c>
      <c r="D14" s="9" t="s">
        <v>473</v>
      </c>
      <c r="E14" s="9" t="s">
        <v>474</v>
      </c>
      <c r="F14" s="9" t="s">
        <v>489</v>
      </c>
    </row>
    <row r="15" customFormat="false" ht="15" hidden="false" customHeight="false" outlineLevel="0" collapsed="false">
      <c r="A15" s="9" t="s">
        <v>490</v>
      </c>
      <c r="B15" s="9" t="s">
        <v>121</v>
      </c>
      <c r="C15" s="9" t="s">
        <v>448</v>
      </c>
      <c r="D15" s="9" t="s">
        <v>449</v>
      </c>
      <c r="E15" s="9" t="s">
        <v>450</v>
      </c>
      <c r="F15" s="9" t="s">
        <v>491</v>
      </c>
    </row>
    <row r="16" customFormat="false" ht="15" hidden="false" customHeight="false" outlineLevel="0" collapsed="false">
      <c r="A16" s="9" t="s">
        <v>492</v>
      </c>
      <c r="B16" s="9" t="s">
        <v>128</v>
      </c>
      <c r="C16" s="9" t="s">
        <v>467</v>
      </c>
      <c r="D16" s="9" t="s">
        <v>468</v>
      </c>
      <c r="E16" s="9" t="s">
        <v>493</v>
      </c>
      <c r="F16" s="9" t="s">
        <v>494</v>
      </c>
    </row>
    <row r="17" customFormat="false" ht="15" hidden="false" customHeight="false" outlineLevel="0" collapsed="false">
      <c r="A17" s="9" t="s">
        <v>495</v>
      </c>
      <c r="B17" s="9" t="s">
        <v>135</v>
      </c>
      <c r="C17" s="9" t="s">
        <v>496</v>
      </c>
      <c r="D17" s="9" t="s">
        <v>468</v>
      </c>
      <c r="E17" s="9" t="s">
        <v>497</v>
      </c>
      <c r="F17" s="9" t="s">
        <v>498</v>
      </c>
    </row>
    <row r="18" customFormat="false" ht="15" hidden="false" customHeight="false" outlineLevel="0" collapsed="false">
      <c r="A18" s="9" t="s">
        <v>499</v>
      </c>
      <c r="B18" s="9" t="s">
        <v>142</v>
      </c>
      <c r="C18" s="9" t="s">
        <v>448</v>
      </c>
      <c r="D18" s="9" t="s">
        <v>449</v>
      </c>
      <c r="E18" s="9" t="s">
        <v>450</v>
      </c>
      <c r="F18" s="9" t="s">
        <v>500</v>
      </c>
    </row>
    <row r="19" customFormat="false" ht="15" hidden="false" customHeight="false" outlineLevel="0" collapsed="false">
      <c r="A19" s="9" t="s">
        <v>501</v>
      </c>
      <c r="B19" s="9" t="s">
        <v>150</v>
      </c>
      <c r="C19" s="9" t="s">
        <v>502</v>
      </c>
      <c r="D19" s="9" t="s">
        <v>468</v>
      </c>
      <c r="E19" s="9" t="s">
        <v>503</v>
      </c>
      <c r="F19" s="9" t="s">
        <v>504</v>
      </c>
    </row>
    <row r="20" customFormat="false" ht="15" hidden="false" customHeight="false" outlineLevel="0" collapsed="false">
      <c r="A20" s="9" t="s">
        <v>505</v>
      </c>
      <c r="B20" s="9" t="s">
        <v>158</v>
      </c>
      <c r="C20" s="9" t="s">
        <v>506</v>
      </c>
      <c r="D20" s="9" t="s">
        <v>507</v>
      </c>
      <c r="E20" s="9" t="s">
        <v>508</v>
      </c>
      <c r="F20" s="9" t="s">
        <v>509</v>
      </c>
    </row>
    <row r="21" customFormat="false" ht="15" hidden="false" customHeight="false" outlineLevel="0" collapsed="false">
      <c r="A21" s="9" t="s">
        <v>510</v>
      </c>
      <c r="B21" s="9" t="s">
        <v>167</v>
      </c>
      <c r="C21" s="9" t="s">
        <v>448</v>
      </c>
      <c r="D21" s="9" t="s">
        <v>449</v>
      </c>
      <c r="E21" s="9" t="s">
        <v>450</v>
      </c>
      <c r="F21" s="9" t="s">
        <v>511</v>
      </c>
    </row>
    <row r="22" customFormat="false" ht="15" hidden="false" customHeight="false" outlineLevel="0" collapsed="false">
      <c r="A22" s="9" t="s">
        <v>512</v>
      </c>
      <c r="B22" s="9" t="s">
        <v>175</v>
      </c>
      <c r="C22" s="9" t="s">
        <v>448</v>
      </c>
      <c r="D22" s="9" t="s">
        <v>449</v>
      </c>
      <c r="E22" s="9" t="s">
        <v>450</v>
      </c>
      <c r="F22" s="9" t="s">
        <v>513</v>
      </c>
    </row>
    <row r="23" customFormat="false" ht="15" hidden="false" customHeight="false" outlineLevel="0" collapsed="false">
      <c r="A23" s="9" t="s">
        <v>514</v>
      </c>
      <c r="B23" s="9" t="s">
        <v>181</v>
      </c>
      <c r="C23" s="9" t="s">
        <v>448</v>
      </c>
      <c r="D23" s="9" t="s">
        <v>449</v>
      </c>
      <c r="E23" s="9" t="s">
        <v>450</v>
      </c>
      <c r="F23" s="9" t="s">
        <v>511</v>
      </c>
    </row>
    <row r="24" customFormat="false" ht="15" hidden="false" customHeight="false" outlineLevel="0" collapsed="false">
      <c r="A24" s="9" t="s">
        <v>515</v>
      </c>
      <c r="B24" s="9" t="s">
        <v>187</v>
      </c>
      <c r="C24" s="9" t="s">
        <v>516</v>
      </c>
      <c r="D24" s="9" t="s">
        <v>449</v>
      </c>
      <c r="E24" s="9" t="s">
        <v>474</v>
      </c>
      <c r="F24" s="9" t="s">
        <v>517</v>
      </c>
    </row>
    <row r="25" customFormat="false" ht="15" hidden="false" customHeight="false" outlineLevel="0" collapsed="false">
      <c r="A25" s="9" t="s">
        <v>518</v>
      </c>
      <c r="B25" s="9" t="s">
        <v>194</v>
      </c>
      <c r="C25" s="9" t="s">
        <v>519</v>
      </c>
      <c r="D25" s="9" t="s">
        <v>520</v>
      </c>
      <c r="E25" s="9" t="s">
        <v>521</v>
      </c>
      <c r="F25" s="9" t="s">
        <v>522</v>
      </c>
    </row>
    <row r="26" customFormat="false" ht="15" hidden="false" customHeight="false" outlineLevel="0" collapsed="false">
      <c r="A26" s="9" t="s">
        <v>523</v>
      </c>
      <c r="B26" s="9" t="s">
        <v>203</v>
      </c>
      <c r="C26" s="9" t="s">
        <v>519</v>
      </c>
      <c r="D26" s="9" t="s">
        <v>520</v>
      </c>
      <c r="E26" s="9" t="s">
        <v>524</v>
      </c>
      <c r="F26" s="9" t="s">
        <v>525</v>
      </c>
    </row>
    <row r="27" customFormat="false" ht="15" hidden="false" customHeight="false" outlineLevel="0" collapsed="false">
      <c r="A27" s="9" t="s">
        <v>526</v>
      </c>
      <c r="B27" s="9" t="s">
        <v>210</v>
      </c>
      <c r="C27" s="9" t="s">
        <v>527</v>
      </c>
      <c r="D27" s="9" t="s">
        <v>507</v>
      </c>
      <c r="E27" s="9" t="s">
        <v>528</v>
      </c>
      <c r="F27" s="9" t="s">
        <v>529</v>
      </c>
    </row>
    <row r="28" customFormat="false" ht="15" hidden="false" customHeight="false" outlineLevel="0" collapsed="false">
      <c r="A28" s="9" t="s">
        <v>530</v>
      </c>
      <c r="B28" s="9" t="s">
        <v>219</v>
      </c>
      <c r="C28" s="9" t="s">
        <v>519</v>
      </c>
      <c r="D28" s="9" t="s">
        <v>520</v>
      </c>
      <c r="E28" s="9" t="s">
        <v>524</v>
      </c>
      <c r="F28" s="9" t="s">
        <v>531</v>
      </c>
    </row>
    <row r="29" customFormat="false" ht="15" hidden="false" customHeight="false" outlineLevel="0" collapsed="false">
      <c r="A29" s="9" t="s">
        <v>532</v>
      </c>
      <c r="B29" s="9" t="s">
        <v>227</v>
      </c>
      <c r="C29" s="9" t="s">
        <v>533</v>
      </c>
      <c r="D29" s="9" t="s">
        <v>449</v>
      </c>
      <c r="E29" s="9" t="s">
        <v>474</v>
      </c>
      <c r="F29" s="9" t="s">
        <v>534</v>
      </c>
    </row>
    <row r="30" customFormat="false" ht="15" hidden="false" customHeight="false" outlineLevel="0" collapsed="false">
      <c r="A30" s="9" t="s">
        <v>535</v>
      </c>
      <c r="B30" s="9" t="s">
        <v>236</v>
      </c>
      <c r="C30" s="9" t="s">
        <v>536</v>
      </c>
      <c r="D30" s="9" t="s">
        <v>449</v>
      </c>
      <c r="E30" s="9" t="s">
        <v>474</v>
      </c>
      <c r="F30" s="9" t="s">
        <v>537</v>
      </c>
    </row>
    <row r="31" customFormat="false" ht="15" hidden="false" customHeight="false" outlineLevel="0" collapsed="false">
      <c r="A31" s="9" t="s">
        <v>538</v>
      </c>
      <c r="B31" s="9" t="s">
        <v>246</v>
      </c>
      <c r="C31" s="9" t="s">
        <v>539</v>
      </c>
      <c r="D31" s="9" t="s">
        <v>449</v>
      </c>
      <c r="E31" s="9" t="s">
        <v>474</v>
      </c>
      <c r="F31" s="9" t="s">
        <v>540</v>
      </c>
    </row>
    <row r="32" customFormat="false" ht="15" hidden="false" customHeight="false" outlineLevel="0" collapsed="false">
      <c r="A32" s="9" t="s">
        <v>541</v>
      </c>
      <c r="B32" s="9" t="s">
        <v>254</v>
      </c>
      <c r="C32" s="9" t="s">
        <v>542</v>
      </c>
      <c r="D32" s="9" t="s">
        <v>449</v>
      </c>
      <c r="E32" s="9" t="s">
        <v>474</v>
      </c>
      <c r="F32" s="9" t="s">
        <v>540</v>
      </c>
    </row>
    <row r="33" customFormat="false" ht="15" hidden="false" customHeight="false" outlineLevel="0" collapsed="false">
      <c r="A33" s="9" t="s">
        <v>543</v>
      </c>
      <c r="B33" s="9" t="s">
        <v>259</v>
      </c>
      <c r="C33" s="9" t="s">
        <v>544</v>
      </c>
      <c r="D33" s="9" t="s">
        <v>449</v>
      </c>
      <c r="E33" s="9" t="s">
        <v>474</v>
      </c>
      <c r="F33" s="9" t="s">
        <v>540</v>
      </c>
    </row>
    <row r="34" customFormat="false" ht="15" hidden="false" customHeight="false" outlineLevel="0" collapsed="false">
      <c r="A34" s="9" t="s">
        <v>545</v>
      </c>
      <c r="B34" s="9" t="s">
        <v>265</v>
      </c>
      <c r="C34" s="9" t="s">
        <v>546</v>
      </c>
      <c r="D34" s="9" t="s">
        <v>449</v>
      </c>
      <c r="E34" s="9" t="s">
        <v>474</v>
      </c>
      <c r="F34" s="9" t="s">
        <v>547</v>
      </c>
    </row>
    <row r="35" customFormat="false" ht="15" hidden="false" customHeight="false" outlineLevel="0" collapsed="false">
      <c r="A35" s="9" t="s">
        <v>548</v>
      </c>
      <c r="B35" s="9" t="s">
        <v>274</v>
      </c>
      <c r="C35" s="9" t="s">
        <v>549</v>
      </c>
      <c r="D35" s="9" t="s">
        <v>449</v>
      </c>
      <c r="E35" s="9" t="s">
        <v>474</v>
      </c>
      <c r="F35" s="9" t="s">
        <v>550</v>
      </c>
    </row>
    <row r="36" customFormat="false" ht="15" hidden="false" customHeight="false" outlineLevel="0" collapsed="false">
      <c r="A36" s="9" t="s">
        <v>551</v>
      </c>
      <c r="B36" s="9" t="s">
        <v>282</v>
      </c>
      <c r="C36" s="9" t="s">
        <v>552</v>
      </c>
      <c r="D36" s="9" t="s">
        <v>449</v>
      </c>
      <c r="E36" s="9" t="s">
        <v>474</v>
      </c>
      <c r="F36" s="9" t="s">
        <v>553</v>
      </c>
    </row>
    <row r="37" customFormat="false" ht="15" hidden="false" customHeight="false" outlineLevel="0" collapsed="false">
      <c r="A37" s="9" t="s">
        <v>554</v>
      </c>
      <c r="B37" s="9" t="s">
        <v>290</v>
      </c>
      <c r="C37" s="9" t="s">
        <v>555</v>
      </c>
      <c r="D37" s="9" t="s">
        <v>449</v>
      </c>
      <c r="E37" s="9" t="s">
        <v>474</v>
      </c>
      <c r="F37" s="9" t="s">
        <v>556</v>
      </c>
    </row>
    <row r="38" customFormat="false" ht="15" hidden="false" customHeight="false" outlineLevel="0" collapsed="false">
      <c r="A38" s="9" t="s">
        <v>557</v>
      </c>
      <c r="B38" s="9" t="s">
        <v>298</v>
      </c>
      <c r="C38" s="9" t="s">
        <v>558</v>
      </c>
      <c r="D38" s="9" t="s">
        <v>449</v>
      </c>
      <c r="E38" s="9" t="s">
        <v>474</v>
      </c>
      <c r="F38" s="9" t="s">
        <v>559</v>
      </c>
    </row>
    <row r="39" customFormat="false" ht="15" hidden="false" customHeight="false" outlineLevel="0" collapsed="false">
      <c r="A39" s="9" t="s">
        <v>560</v>
      </c>
      <c r="B39" s="9" t="s">
        <v>306</v>
      </c>
      <c r="C39" s="9" t="s">
        <v>561</v>
      </c>
      <c r="D39" s="9" t="s">
        <v>449</v>
      </c>
      <c r="E39" s="9" t="s">
        <v>474</v>
      </c>
      <c r="F39" s="9" t="s">
        <v>562</v>
      </c>
    </row>
    <row r="40" customFormat="false" ht="15" hidden="false" customHeight="false" outlineLevel="0" collapsed="false">
      <c r="A40" s="9" t="s">
        <v>563</v>
      </c>
      <c r="B40" s="9" t="s">
        <v>313</v>
      </c>
      <c r="C40" s="9" t="s">
        <v>564</v>
      </c>
      <c r="D40" s="9" t="s">
        <v>449</v>
      </c>
      <c r="E40" s="9" t="s">
        <v>474</v>
      </c>
      <c r="F40" s="9" t="s">
        <v>565</v>
      </c>
    </row>
    <row r="41" customFormat="false" ht="15" hidden="false" customHeight="false" outlineLevel="0" collapsed="false">
      <c r="A41" s="9" t="s">
        <v>566</v>
      </c>
      <c r="B41" s="9" t="s">
        <v>321</v>
      </c>
      <c r="C41" s="9" t="s">
        <v>567</v>
      </c>
      <c r="D41" s="9" t="s">
        <v>449</v>
      </c>
      <c r="E41" s="9" t="s">
        <v>474</v>
      </c>
      <c r="F41" s="9" t="s">
        <v>568</v>
      </c>
    </row>
    <row r="42" customFormat="false" ht="15" hidden="false" customHeight="false" outlineLevel="0" collapsed="false">
      <c r="A42" s="9" t="s">
        <v>569</v>
      </c>
      <c r="B42" s="9" t="s">
        <v>344</v>
      </c>
      <c r="C42" s="9" t="s">
        <v>567</v>
      </c>
      <c r="D42" s="9" t="s">
        <v>449</v>
      </c>
      <c r="E42" s="9" t="s">
        <v>474</v>
      </c>
      <c r="F42" s="9" t="s">
        <v>568</v>
      </c>
    </row>
    <row r="43" customFormat="false" ht="15" hidden="false" customHeight="false" outlineLevel="0" collapsed="false">
      <c r="A43" s="9" t="s">
        <v>570</v>
      </c>
      <c r="B43" s="9" t="s">
        <v>352</v>
      </c>
      <c r="C43" s="9" t="s">
        <v>571</v>
      </c>
      <c r="D43" s="9" t="s">
        <v>449</v>
      </c>
      <c r="E43" s="9" t="s">
        <v>474</v>
      </c>
      <c r="F43" s="9" t="s">
        <v>572</v>
      </c>
    </row>
    <row r="44" customFormat="false" ht="15" hidden="false" customHeight="false" outlineLevel="0" collapsed="false">
      <c r="A44" s="9" t="s">
        <v>573</v>
      </c>
      <c r="B44" s="9" t="s">
        <v>361</v>
      </c>
      <c r="C44" s="9" t="s">
        <v>574</v>
      </c>
      <c r="D44" s="9" t="s">
        <v>449</v>
      </c>
      <c r="E44" s="9" t="s">
        <v>474</v>
      </c>
      <c r="F44" s="9" t="s">
        <v>575</v>
      </c>
    </row>
    <row r="45" customFormat="false" ht="15" hidden="false" customHeight="false" outlineLevel="0" collapsed="false">
      <c r="A45" s="9" t="s">
        <v>576</v>
      </c>
      <c r="B45" s="9" t="s">
        <v>369</v>
      </c>
      <c r="C45" s="9" t="s">
        <v>577</v>
      </c>
      <c r="D45" s="9" t="s">
        <v>449</v>
      </c>
      <c r="E45" s="9" t="s">
        <v>371</v>
      </c>
      <c r="F45" s="9" t="s">
        <v>578</v>
      </c>
    </row>
    <row r="46" customFormat="false" ht="15" hidden="false" customHeight="false" outlineLevel="0" collapsed="false">
      <c r="A46" s="9" t="s">
        <v>579</v>
      </c>
      <c r="B46" s="9" t="s">
        <v>377</v>
      </c>
      <c r="C46" s="9" t="s">
        <v>577</v>
      </c>
      <c r="D46" s="9" t="s">
        <v>449</v>
      </c>
      <c r="E46" s="9" t="s">
        <v>355</v>
      </c>
      <c r="F46" s="9" t="s">
        <v>580</v>
      </c>
    </row>
    <row r="47" customFormat="false" ht="15" hidden="false" customHeight="false" outlineLevel="0" collapsed="false">
      <c r="A47" s="9" t="s">
        <v>581</v>
      </c>
      <c r="B47" s="9" t="s">
        <v>381</v>
      </c>
      <c r="C47" s="9" t="s">
        <v>582</v>
      </c>
      <c r="D47" s="9" t="s">
        <v>449</v>
      </c>
      <c r="E47" s="9" t="s">
        <v>474</v>
      </c>
      <c r="F47" s="9" t="s">
        <v>583</v>
      </c>
    </row>
    <row r="48" customFormat="false" ht="15" hidden="false" customHeight="false" outlineLevel="0" collapsed="false">
      <c r="A48" s="9" t="s">
        <v>584</v>
      </c>
      <c r="B48" s="9" t="s">
        <v>388</v>
      </c>
      <c r="C48" s="9" t="s">
        <v>448</v>
      </c>
      <c r="D48" s="9" t="s">
        <v>449</v>
      </c>
      <c r="E48" s="9" t="s">
        <v>450</v>
      </c>
      <c r="F48" s="9" t="s">
        <v>585</v>
      </c>
    </row>
    <row r="49" customFormat="false" ht="15" hidden="false" customHeight="false" outlineLevel="0" collapsed="false">
      <c r="A49" s="9" t="s">
        <v>586</v>
      </c>
      <c r="B49" s="9" t="s">
        <v>396</v>
      </c>
      <c r="C49" s="9" t="s">
        <v>459</v>
      </c>
      <c r="D49" s="9" t="s">
        <v>449</v>
      </c>
      <c r="E49" s="9" t="s">
        <v>587</v>
      </c>
      <c r="F49" s="9" t="s">
        <v>461</v>
      </c>
    </row>
    <row r="50" customFormat="false" ht="15" hidden="false" customHeight="false" outlineLevel="0" collapsed="false">
      <c r="A50" s="9" t="s">
        <v>588</v>
      </c>
      <c r="B50" s="9" t="s">
        <v>403</v>
      </c>
      <c r="C50" s="9" t="s">
        <v>589</v>
      </c>
      <c r="D50" s="9" t="s">
        <v>449</v>
      </c>
      <c r="E50" s="9" t="s">
        <v>474</v>
      </c>
      <c r="F50" s="9" t="s">
        <v>590</v>
      </c>
    </row>
    <row r="51" customFormat="false" ht="15" hidden="false" customHeight="false" outlineLevel="0" collapsed="false">
      <c r="A51" s="9" t="s">
        <v>591</v>
      </c>
      <c r="B51" s="9" t="s">
        <v>410</v>
      </c>
      <c r="C51" s="9" t="s">
        <v>592</v>
      </c>
      <c r="D51" s="9" t="s">
        <v>449</v>
      </c>
      <c r="E51" s="9" t="s">
        <v>474</v>
      </c>
      <c r="F51" s="9" t="s">
        <v>593</v>
      </c>
    </row>
    <row r="52" customFormat="false" ht="15" hidden="false" customHeight="false" outlineLevel="0" collapsed="false">
      <c r="A52" s="9" t="s">
        <v>594</v>
      </c>
      <c r="B52" s="9" t="s">
        <v>418</v>
      </c>
      <c r="C52" s="9" t="s">
        <v>595</v>
      </c>
      <c r="D52" s="9" t="s">
        <v>449</v>
      </c>
      <c r="E52" s="9" t="s">
        <v>474</v>
      </c>
      <c r="F52" s="9" t="s">
        <v>596</v>
      </c>
    </row>
    <row r="53" customFormat="false" ht="15" hidden="false" customHeight="false" outlineLevel="0" collapsed="false">
      <c r="A53" s="9" t="s">
        <v>597</v>
      </c>
      <c r="B53" s="9" t="s">
        <v>427</v>
      </c>
      <c r="C53" s="9" t="s">
        <v>567</v>
      </c>
      <c r="D53" s="9" t="s">
        <v>449</v>
      </c>
      <c r="E53" s="9" t="s">
        <v>474</v>
      </c>
      <c r="F53" s="9" t="s">
        <v>568</v>
      </c>
    </row>
    <row r="54" customFormat="false" ht="15" hidden="false" customHeight="false" outlineLevel="0" collapsed="false">
      <c r="A54" s="9" t="s">
        <v>598</v>
      </c>
      <c r="B54" s="9" t="s">
        <v>435</v>
      </c>
      <c r="C54" s="9" t="s">
        <v>599</v>
      </c>
      <c r="D54" s="9" t="s">
        <v>449</v>
      </c>
      <c r="E54" s="9" t="s">
        <v>474</v>
      </c>
      <c r="F54" s="9" t="s">
        <v>600</v>
      </c>
    </row>
  </sheetData>
  <autoFilter ref="A1:F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8"/>
  </cols>
  <sheetData>
    <row r="1" customFormat="false" ht="19.7" hidden="false" customHeight="false" outlineLevel="0" collapsed="false">
      <c r="A1" s="15" t="s">
        <v>601</v>
      </c>
    </row>
    <row r="2" customFormat="false" ht="15" hidden="false" customHeight="false" outlineLevel="0" collapsed="false">
      <c r="A2" s="16" t="s">
        <v>602</v>
      </c>
    </row>
    <row r="4" customFormat="false" ht="15" hidden="false" customHeight="false" outlineLevel="0" collapsed="false">
      <c r="A4" s="17" t="s">
        <v>603</v>
      </c>
    </row>
    <row r="5" customFormat="false" ht="15" hidden="false" customHeight="false" outlineLevel="0" collapsed="false">
      <c r="A5" s="18" t="s">
        <v>26</v>
      </c>
      <c r="B5" s="18" t="s">
        <v>604</v>
      </c>
      <c r="C5" s="18" t="s">
        <v>605</v>
      </c>
    </row>
    <row r="6" customFormat="false" ht="15" hidden="false" customHeight="false" outlineLevel="0" collapsed="false">
      <c r="A6" s="6" t="s">
        <v>41</v>
      </c>
      <c r="B6" s="6" t="n">
        <v>5</v>
      </c>
      <c r="C6" s="6" t="s">
        <v>606</v>
      </c>
    </row>
    <row r="7" customFormat="false" ht="15" hidden="false" customHeight="false" outlineLevel="0" collapsed="false">
      <c r="A7" s="6" t="s">
        <v>57</v>
      </c>
      <c r="B7" s="6" t="n">
        <v>3</v>
      </c>
      <c r="C7" s="6" t="s">
        <v>607</v>
      </c>
    </row>
    <row r="8" customFormat="false" ht="15" hidden="false" customHeight="false" outlineLevel="0" collapsed="false">
      <c r="A8" s="6" t="s">
        <v>80</v>
      </c>
      <c r="B8" s="6" t="n">
        <v>2</v>
      </c>
      <c r="C8" s="6" t="s">
        <v>608</v>
      </c>
    </row>
    <row r="9" customFormat="false" ht="15" hidden="false" customHeight="false" outlineLevel="0" collapsed="false">
      <c r="A9" s="6" t="s">
        <v>164</v>
      </c>
      <c r="B9" s="6" t="n">
        <v>1</v>
      </c>
      <c r="C9" s="6" t="s">
        <v>609</v>
      </c>
    </row>
    <row r="11" customFormat="false" ht="15" hidden="false" customHeight="false" outlineLevel="0" collapsed="false">
      <c r="A11" s="17" t="s">
        <v>610</v>
      </c>
    </row>
    <row r="12" customFormat="false" ht="15" hidden="false" customHeight="false" outlineLevel="0" collapsed="false">
      <c r="A12" s="18" t="s">
        <v>611</v>
      </c>
      <c r="B12" s="18" t="s">
        <v>612</v>
      </c>
      <c r="C12" s="18" t="s">
        <v>613</v>
      </c>
    </row>
    <row r="13" customFormat="false" ht="15" hidden="false" customHeight="false" outlineLevel="0" collapsed="false">
      <c r="A13" s="6" t="s">
        <v>614</v>
      </c>
      <c r="B13" s="6" t="n">
        <v>1</v>
      </c>
      <c r="C13" s="6" t="s">
        <v>615</v>
      </c>
    </row>
    <row r="14" customFormat="false" ht="15" hidden="false" customHeight="false" outlineLevel="0" collapsed="false">
      <c r="A14" s="6" t="s">
        <v>616</v>
      </c>
      <c r="B14" s="6" t="n">
        <v>0.7</v>
      </c>
      <c r="C14" s="6" t="s">
        <v>617</v>
      </c>
    </row>
    <row r="15" customFormat="false" ht="15" hidden="false" customHeight="false" outlineLevel="0" collapsed="false">
      <c r="A15" s="6" t="s">
        <v>618</v>
      </c>
      <c r="B15" s="6" t="n">
        <v>0.9</v>
      </c>
      <c r="C15" s="6" t="s">
        <v>619</v>
      </c>
    </row>
    <row r="16" customFormat="false" ht="15" hidden="false" customHeight="false" outlineLevel="0" collapsed="false">
      <c r="A16" s="6" t="s">
        <v>620</v>
      </c>
      <c r="B16" s="6" t="n">
        <v>0.6</v>
      </c>
      <c r="C16" s="6" t="s">
        <v>621</v>
      </c>
    </row>
    <row r="17" customFormat="false" ht="15" hidden="false" customHeight="false" outlineLevel="0" collapsed="false">
      <c r="A17" s="6" t="s">
        <v>622</v>
      </c>
      <c r="B17" s="6" t="n">
        <v>0.3</v>
      </c>
      <c r="C17" s="6" t="s">
        <v>623</v>
      </c>
    </row>
    <row r="18" customFormat="false" ht="15" hidden="false" customHeight="false" outlineLevel="0" collapsed="false">
      <c r="A18" s="6" t="s">
        <v>624</v>
      </c>
      <c r="B18" s="6" t="n">
        <v>0.2</v>
      </c>
      <c r="C18" s="6" t="s">
        <v>625</v>
      </c>
    </row>
    <row r="19" customFormat="false" ht="15" hidden="false" customHeight="false" outlineLevel="0" collapsed="false">
      <c r="A19" s="6" t="s">
        <v>626</v>
      </c>
      <c r="B19" s="6" t="n">
        <v>0</v>
      </c>
      <c r="C19" s="6" t="s">
        <v>627</v>
      </c>
    </row>
    <row r="21" customFormat="false" ht="15" hidden="false" customHeight="false" outlineLevel="0" collapsed="false">
      <c r="A21" s="17" t="s">
        <v>628</v>
      </c>
    </row>
    <row r="22" customFormat="false" ht="15" hidden="false" customHeight="false" outlineLevel="0" collapsed="false">
      <c r="A22" s="19" t="s">
        <v>629</v>
      </c>
    </row>
    <row r="23" customFormat="false" ht="15" hidden="false" customHeight="false" outlineLevel="0" collapsed="false">
      <c r="A23" s="16" t="s">
        <v>630</v>
      </c>
    </row>
    <row r="25" customFormat="false" ht="15" hidden="false" customHeight="false" outlineLevel="0" collapsed="false">
      <c r="A25" s="17" t="s">
        <v>631</v>
      </c>
    </row>
    <row r="26" customFormat="false" ht="15" hidden="false" customHeight="false" outlineLevel="0" collapsed="false">
      <c r="A26" s="18" t="s">
        <v>632</v>
      </c>
      <c r="B26" s="18" t="s">
        <v>26</v>
      </c>
      <c r="C26" s="18" t="s">
        <v>604</v>
      </c>
      <c r="D26" s="18" t="s">
        <v>633</v>
      </c>
      <c r="E26" s="18" t="s">
        <v>612</v>
      </c>
      <c r="F26" s="18" t="s">
        <v>634</v>
      </c>
      <c r="G26" s="18" t="s">
        <v>635</v>
      </c>
    </row>
    <row r="27" customFormat="false" ht="15" hidden="false" customHeight="false" outlineLevel="0" collapsed="false">
      <c r="A27" s="20" t="s">
        <v>636</v>
      </c>
      <c r="B27" s="20" t="s">
        <v>41</v>
      </c>
      <c r="C27" s="20" t="n">
        <v>5</v>
      </c>
      <c r="D27" s="20" t="s">
        <v>614</v>
      </c>
      <c r="E27" s="20" t="n">
        <v>1</v>
      </c>
      <c r="F27" s="20" t="n">
        <f aca="false">C27*E27</f>
        <v>5</v>
      </c>
      <c r="G27" s="20" t="n">
        <f aca="false">C27*1</f>
        <v>5</v>
      </c>
    </row>
    <row r="28" customFormat="false" ht="15" hidden="false" customHeight="false" outlineLevel="0" collapsed="false">
      <c r="A28" s="20" t="s">
        <v>637</v>
      </c>
      <c r="B28" s="20" t="s">
        <v>41</v>
      </c>
      <c r="C28" s="20" t="n">
        <v>5</v>
      </c>
      <c r="D28" s="20" t="s">
        <v>626</v>
      </c>
      <c r="E28" s="20" t="n">
        <v>0</v>
      </c>
      <c r="F28" s="20" t="n">
        <f aca="false">C28*E28</f>
        <v>0</v>
      </c>
      <c r="G28" s="20" t="n">
        <f aca="false">C28*1</f>
        <v>5</v>
      </c>
    </row>
    <row r="29" customFormat="false" ht="15" hidden="false" customHeight="false" outlineLevel="0" collapsed="false">
      <c r="A29" s="20" t="s">
        <v>638</v>
      </c>
      <c r="B29" s="20" t="s">
        <v>41</v>
      </c>
      <c r="C29" s="20" t="n">
        <v>5</v>
      </c>
      <c r="D29" s="20" t="s">
        <v>620</v>
      </c>
      <c r="E29" s="20" t="n">
        <v>0.6</v>
      </c>
      <c r="F29" s="20" t="n">
        <f aca="false">C29*E29</f>
        <v>3</v>
      </c>
      <c r="G29" s="20" t="n">
        <f aca="false">C29*1</f>
        <v>5</v>
      </c>
    </row>
    <row r="30" customFormat="false" ht="15" hidden="false" customHeight="false" outlineLevel="0" collapsed="false">
      <c r="A30" s="20" t="s">
        <v>639</v>
      </c>
      <c r="B30" s="20" t="s">
        <v>41</v>
      </c>
      <c r="C30" s="20" t="n">
        <v>5</v>
      </c>
      <c r="D30" s="20" t="s">
        <v>624</v>
      </c>
      <c r="E30" s="20" t="n">
        <v>0.2</v>
      </c>
      <c r="F30" s="20" t="n">
        <f aca="false">C30*E30</f>
        <v>1</v>
      </c>
      <c r="G30" s="20" t="n">
        <f aca="false">C30*1</f>
        <v>5</v>
      </c>
    </row>
    <row r="31" customFormat="false" ht="15" hidden="false" customHeight="false" outlineLevel="0" collapsed="false">
      <c r="A31" s="20" t="s">
        <v>640</v>
      </c>
      <c r="B31" s="20" t="s">
        <v>41</v>
      </c>
      <c r="C31" s="20" t="n">
        <v>5</v>
      </c>
      <c r="D31" s="20" t="s">
        <v>614</v>
      </c>
      <c r="E31" s="20" t="n">
        <v>1</v>
      </c>
      <c r="F31" s="20" t="n">
        <f aca="false">C31*E31</f>
        <v>5</v>
      </c>
      <c r="G31" s="20" t="n">
        <f aca="false">C31*1</f>
        <v>5</v>
      </c>
    </row>
    <row r="32" customFormat="false" ht="15" hidden="false" customHeight="false" outlineLevel="0" collapsed="false">
      <c r="A32" s="20" t="s">
        <v>641</v>
      </c>
      <c r="B32" s="20" t="s">
        <v>57</v>
      </c>
      <c r="C32" s="20" t="n">
        <v>3</v>
      </c>
      <c r="D32" s="20" t="s">
        <v>614</v>
      </c>
      <c r="E32" s="20" t="n">
        <v>1</v>
      </c>
      <c r="F32" s="20" t="n">
        <f aca="false">C32*E32</f>
        <v>3</v>
      </c>
      <c r="G32" s="20" t="n">
        <f aca="false">C32*1</f>
        <v>3</v>
      </c>
    </row>
    <row r="33" customFormat="false" ht="15" hidden="false" customHeight="false" outlineLevel="0" collapsed="false">
      <c r="A33" s="20" t="s">
        <v>642</v>
      </c>
      <c r="B33" s="20" t="s">
        <v>57</v>
      </c>
      <c r="C33" s="20" t="n">
        <v>3</v>
      </c>
      <c r="D33" s="20" t="s">
        <v>616</v>
      </c>
      <c r="E33" s="20" t="n">
        <v>0.7</v>
      </c>
      <c r="F33" s="20" t="n">
        <f aca="false">C33*E33</f>
        <v>2.1</v>
      </c>
      <c r="G33" s="20" t="n">
        <f aca="false">C33*1</f>
        <v>3</v>
      </c>
    </row>
    <row r="34" customFormat="false" ht="15" hidden="false" customHeight="false" outlineLevel="0" collapsed="false">
      <c r="A34" s="20" t="s">
        <v>643</v>
      </c>
      <c r="B34" s="20" t="s">
        <v>57</v>
      </c>
      <c r="C34" s="20" t="n">
        <v>3</v>
      </c>
      <c r="D34" s="20" t="s">
        <v>618</v>
      </c>
      <c r="E34" s="20" t="n">
        <v>0.9</v>
      </c>
      <c r="F34" s="20" t="n">
        <f aca="false">C34*E34</f>
        <v>2.7</v>
      </c>
      <c r="G34" s="20" t="n">
        <f aca="false">C34*1</f>
        <v>3</v>
      </c>
    </row>
    <row r="35" customFormat="false" ht="15" hidden="false" customHeight="false" outlineLevel="0" collapsed="false">
      <c r="A35" s="20" t="s">
        <v>644</v>
      </c>
      <c r="B35" s="20" t="s">
        <v>57</v>
      </c>
      <c r="C35" s="20" t="n">
        <v>3</v>
      </c>
      <c r="D35" s="20" t="s">
        <v>622</v>
      </c>
      <c r="E35" s="20" t="n">
        <v>0.3</v>
      </c>
      <c r="F35" s="20" t="n">
        <f aca="false">C35*E35</f>
        <v>0.9</v>
      </c>
      <c r="G35" s="20" t="n">
        <f aca="false">C35*1</f>
        <v>3</v>
      </c>
    </row>
    <row r="36" customFormat="false" ht="15" hidden="false" customHeight="false" outlineLevel="0" collapsed="false">
      <c r="A36" s="20" t="s">
        <v>645</v>
      </c>
      <c r="B36" s="20" t="s">
        <v>57</v>
      </c>
      <c r="C36" s="20" t="n">
        <v>3</v>
      </c>
      <c r="D36" s="20" t="s">
        <v>614</v>
      </c>
      <c r="E36" s="20" t="n">
        <v>1</v>
      </c>
      <c r="F36" s="20" t="n">
        <f aca="false">C36*E36</f>
        <v>3</v>
      </c>
      <c r="G36" s="20" t="n">
        <f aca="false">C36*1</f>
        <v>3</v>
      </c>
    </row>
    <row r="37" customFormat="false" ht="15" hidden="false" customHeight="false" outlineLevel="0" collapsed="false">
      <c r="A37" s="20" t="s">
        <v>646</v>
      </c>
      <c r="B37" s="20" t="s">
        <v>57</v>
      </c>
      <c r="C37" s="20" t="n">
        <v>3</v>
      </c>
      <c r="D37" s="20" t="s">
        <v>622</v>
      </c>
      <c r="E37" s="20" t="n">
        <v>0.3</v>
      </c>
      <c r="F37" s="20" t="n">
        <f aca="false">C37*E37</f>
        <v>0.9</v>
      </c>
      <c r="G37" s="20" t="n">
        <f aca="false">C37*1</f>
        <v>3</v>
      </c>
    </row>
    <row r="38" customFormat="false" ht="15" hidden="false" customHeight="false" outlineLevel="0" collapsed="false">
      <c r="A38" s="20" t="s">
        <v>647</v>
      </c>
      <c r="B38" s="20" t="s">
        <v>80</v>
      </c>
      <c r="C38" s="20" t="n">
        <v>2</v>
      </c>
      <c r="D38" s="20" t="s">
        <v>614</v>
      </c>
      <c r="E38" s="20" t="n">
        <v>1</v>
      </c>
      <c r="F38" s="20" t="n">
        <f aca="false">C38*E38</f>
        <v>2</v>
      </c>
      <c r="G38" s="20" t="n">
        <f aca="false">C38*1</f>
        <v>2</v>
      </c>
    </row>
    <row r="39" customFormat="false" ht="15" hidden="false" customHeight="false" outlineLevel="0" collapsed="false">
      <c r="A39" s="20" t="s">
        <v>648</v>
      </c>
      <c r="B39" s="20" t="s">
        <v>80</v>
      </c>
      <c r="C39" s="20" t="n">
        <v>2</v>
      </c>
      <c r="D39" s="20" t="s">
        <v>618</v>
      </c>
      <c r="E39" s="20" t="n">
        <v>0.9</v>
      </c>
      <c r="F39" s="20" t="n">
        <f aca="false">C39*E39</f>
        <v>1.8</v>
      </c>
      <c r="G39" s="20" t="n">
        <f aca="false">C39*1</f>
        <v>2</v>
      </c>
    </row>
    <row r="40" customFormat="false" ht="15" hidden="false" customHeight="false" outlineLevel="0" collapsed="false">
      <c r="A40" s="20" t="s">
        <v>649</v>
      </c>
      <c r="B40" s="20" t="s">
        <v>164</v>
      </c>
      <c r="C40" s="20" t="n">
        <v>1</v>
      </c>
      <c r="D40" s="20" t="s">
        <v>614</v>
      </c>
      <c r="E40" s="20" t="n">
        <v>1</v>
      </c>
      <c r="F40" s="20" t="n">
        <f aca="false">C40*E40</f>
        <v>1</v>
      </c>
      <c r="G40" s="20" t="n">
        <f aca="false">C40*1</f>
        <v>1</v>
      </c>
    </row>
    <row r="41" customFormat="false" ht="15" hidden="false" customHeight="false" outlineLevel="0" collapsed="false">
      <c r="A41" s="20" t="s">
        <v>650</v>
      </c>
      <c r="B41" s="20" t="s">
        <v>164</v>
      </c>
      <c r="C41" s="20" t="n">
        <v>1</v>
      </c>
      <c r="D41" s="20" t="s">
        <v>624</v>
      </c>
      <c r="E41" s="20" t="n">
        <v>0.2</v>
      </c>
      <c r="F41" s="20" t="n">
        <f aca="false">C41*E41</f>
        <v>0.2</v>
      </c>
      <c r="G41" s="20" t="n">
        <f aca="false">C41*1</f>
        <v>1</v>
      </c>
    </row>
    <row r="42" customFormat="false" ht="15" hidden="false" customHeight="false" outlineLevel="0" collapsed="false">
      <c r="A42" s="21" t="s">
        <v>651</v>
      </c>
      <c r="F42" s="21" t="n">
        <f aca="false">SUM(F27:F41)</f>
        <v>31.6</v>
      </c>
      <c r="G42" s="21" t="n">
        <f aca="false">SUM(G27:G41)</f>
        <v>49</v>
      </c>
    </row>
    <row r="44" customFormat="false" ht="17.35" hidden="false" customHeight="false" outlineLevel="0" collapsed="false">
      <c r="A44" s="17" t="s">
        <v>652</v>
      </c>
      <c r="F44" s="22" t="n">
        <f aca="false">ROUND(F42/G42*100,1)</f>
        <v>64.5</v>
      </c>
      <c r="G44" s="17" t="s">
        <v>653</v>
      </c>
    </row>
    <row r="47" customFormat="false" ht="15" hidden="false" customHeight="false" outlineLevel="0" collapsed="false">
      <c r="A47" s="17" t="s">
        <v>654</v>
      </c>
    </row>
    <row r="48" customFormat="false" ht="15" hidden="false" customHeight="false" outlineLevel="0" collapsed="false">
      <c r="A48" s="16" t="s">
        <v>655</v>
      </c>
    </row>
    <row r="50" customFormat="false" ht="15" hidden="false" customHeight="false" outlineLevel="0" collapsed="false">
      <c r="A50" s="17" t="s">
        <v>656</v>
      </c>
    </row>
    <row r="51" customFormat="false" ht="15" hidden="false" customHeight="false" outlineLevel="0" collapsed="false">
      <c r="A51" s="18" t="s">
        <v>657</v>
      </c>
      <c r="B51" s="18" t="s">
        <v>658</v>
      </c>
      <c r="C51" s="18" t="s">
        <v>659</v>
      </c>
      <c r="D51" s="18" t="s">
        <v>613</v>
      </c>
    </row>
    <row r="52" customFormat="false" ht="15" hidden="false" customHeight="false" outlineLevel="0" collapsed="false">
      <c r="A52" s="6" t="s">
        <v>660</v>
      </c>
      <c r="B52" s="6" t="s">
        <v>661</v>
      </c>
      <c r="C52" s="6" t="s">
        <v>662</v>
      </c>
      <c r="D52" s="6" t="s">
        <v>663</v>
      </c>
    </row>
    <row r="53" customFormat="false" ht="15" hidden="false" customHeight="false" outlineLevel="0" collapsed="false">
      <c r="A53" s="6" t="s">
        <v>664</v>
      </c>
      <c r="B53" s="6" t="s">
        <v>665</v>
      </c>
      <c r="C53" s="6" t="s">
        <v>666</v>
      </c>
      <c r="D53" s="6" t="s">
        <v>667</v>
      </c>
    </row>
    <row r="54" customFormat="false" ht="15" hidden="false" customHeight="false" outlineLevel="0" collapsed="false">
      <c r="A54" s="6" t="s">
        <v>668</v>
      </c>
      <c r="B54" s="6" t="s">
        <v>669</v>
      </c>
      <c r="C54" s="6" t="s">
        <v>670</v>
      </c>
      <c r="D54" s="6" t="s">
        <v>671</v>
      </c>
    </row>
    <row r="55" customFormat="false" ht="15" hidden="false" customHeight="false" outlineLevel="0" collapsed="false">
      <c r="A55" s="6" t="s">
        <v>672</v>
      </c>
      <c r="B55" s="6" t="s">
        <v>673</v>
      </c>
      <c r="C55" s="6" t="s">
        <v>674</v>
      </c>
      <c r="D55" s="6" t="s">
        <v>675</v>
      </c>
    </row>
    <row r="56" customFormat="false" ht="15" hidden="false" customHeight="false" outlineLevel="0" collapsed="false">
      <c r="A56" s="6" t="s">
        <v>676</v>
      </c>
      <c r="B56" s="6" t="s">
        <v>41</v>
      </c>
      <c r="C56" s="6" t="s">
        <v>677</v>
      </c>
      <c r="D56" s="6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56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5" t="s">
        <v>679</v>
      </c>
    </row>
    <row r="2" customFormat="false" ht="15" hidden="false" customHeight="false" outlineLevel="0" collapsed="false">
      <c r="A2" s="16" t="s">
        <v>680</v>
      </c>
    </row>
    <row r="4" customFormat="false" ht="15" hidden="false" customHeight="false" outlineLevel="0" collapsed="false">
      <c r="A4" s="8" t="s">
        <v>681</v>
      </c>
      <c r="B4" s="8" t="s">
        <v>682</v>
      </c>
      <c r="C4" s="8" t="s">
        <v>683</v>
      </c>
      <c r="D4" s="8" t="s">
        <v>684</v>
      </c>
      <c r="E4" s="8" t="s">
        <v>685</v>
      </c>
      <c r="F4" s="8" t="s">
        <v>686</v>
      </c>
    </row>
    <row r="5" customFormat="false" ht="15" hidden="false" customHeight="false" outlineLevel="0" collapsed="false">
      <c r="A5" s="9" t="s">
        <v>687</v>
      </c>
      <c r="B5" s="9" t="s">
        <v>688</v>
      </c>
      <c r="C5" s="9" t="s">
        <v>689</v>
      </c>
      <c r="D5" s="9" t="s">
        <v>690</v>
      </c>
      <c r="E5" s="11" t="s">
        <v>57</v>
      </c>
      <c r="F5" s="9" t="s">
        <v>691</v>
      </c>
    </row>
    <row r="6" customFormat="false" ht="15" hidden="false" customHeight="false" outlineLevel="0" collapsed="false">
      <c r="A6" s="9" t="s">
        <v>692</v>
      </c>
      <c r="B6" s="9" t="s">
        <v>693</v>
      </c>
      <c r="C6" s="9" t="s">
        <v>694</v>
      </c>
      <c r="D6" s="9" t="s">
        <v>695</v>
      </c>
      <c r="E6" s="11" t="s">
        <v>57</v>
      </c>
      <c r="F6" s="9" t="s">
        <v>696</v>
      </c>
    </row>
    <row r="7" customFormat="false" ht="15" hidden="false" customHeight="false" outlineLevel="0" collapsed="false">
      <c r="A7" s="9" t="s">
        <v>697</v>
      </c>
      <c r="B7" s="9" t="s">
        <v>698</v>
      </c>
      <c r="C7" s="9" t="s">
        <v>699</v>
      </c>
      <c r="D7" s="9" t="s">
        <v>700</v>
      </c>
      <c r="E7" s="10" t="s">
        <v>41</v>
      </c>
      <c r="F7" s="9" t="s">
        <v>701</v>
      </c>
    </row>
    <row r="8" customFormat="false" ht="15" hidden="false" customHeight="false" outlineLevel="0" collapsed="false">
      <c r="A8" s="9" t="s">
        <v>702</v>
      </c>
      <c r="B8" s="9" t="s">
        <v>703</v>
      </c>
      <c r="C8" s="9" t="s">
        <v>704</v>
      </c>
      <c r="D8" s="9" t="s">
        <v>700</v>
      </c>
      <c r="E8" s="10" t="s">
        <v>41</v>
      </c>
      <c r="F8" s="9" t="s">
        <v>705</v>
      </c>
    </row>
    <row r="9" customFormat="false" ht="23.85" hidden="false" customHeight="false" outlineLevel="0" collapsed="false">
      <c r="A9" s="9" t="s">
        <v>706</v>
      </c>
      <c r="B9" s="9" t="s">
        <v>707</v>
      </c>
      <c r="C9" s="9" t="s">
        <v>708</v>
      </c>
      <c r="D9" s="9" t="s">
        <v>709</v>
      </c>
      <c r="E9" s="11" t="s">
        <v>57</v>
      </c>
      <c r="F9" s="9" t="s">
        <v>710</v>
      </c>
    </row>
    <row r="10" customFormat="false" ht="15" hidden="false" customHeight="false" outlineLevel="0" collapsed="false">
      <c r="A10" s="9" t="s">
        <v>711</v>
      </c>
      <c r="B10" s="9" t="s">
        <v>712</v>
      </c>
      <c r="C10" s="9" t="s">
        <v>713</v>
      </c>
      <c r="D10" s="9" t="s">
        <v>714</v>
      </c>
      <c r="E10" s="10" t="s">
        <v>41</v>
      </c>
      <c r="F10" s="9" t="s">
        <v>715</v>
      </c>
    </row>
    <row r="11" customFormat="false" ht="15" hidden="false" customHeight="false" outlineLevel="0" collapsed="false">
      <c r="A11" s="9" t="s">
        <v>716</v>
      </c>
      <c r="B11" s="9" t="s">
        <v>717</v>
      </c>
      <c r="C11" s="9" t="s">
        <v>718</v>
      </c>
      <c r="D11" s="9" t="s">
        <v>719</v>
      </c>
      <c r="E11" s="11" t="s">
        <v>57</v>
      </c>
      <c r="F11" s="9" t="s">
        <v>720</v>
      </c>
    </row>
    <row r="12" customFormat="false" ht="15" hidden="false" customHeight="false" outlineLevel="0" collapsed="false">
      <c r="A12" s="9" t="s">
        <v>721</v>
      </c>
      <c r="B12" s="9" t="s">
        <v>722</v>
      </c>
      <c r="C12" s="9" t="s">
        <v>723</v>
      </c>
      <c r="D12" s="9" t="s">
        <v>719</v>
      </c>
      <c r="E12" s="10" t="s">
        <v>41</v>
      </c>
      <c r="F12" s="9" t="s">
        <v>724</v>
      </c>
    </row>
    <row r="13" customFormat="false" ht="15" hidden="false" customHeight="false" outlineLevel="0" collapsed="false">
      <c r="A13" s="9" t="s">
        <v>725</v>
      </c>
      <c r="B13" s="9" t="s">
        <v>726</v>
      </c>
      <c r="C13" s="9" t="s">
        <v>727</v>
      </c>
      <c r="D13" s="9" t="s">
        <v>728</v>
      </c>
      <c r="E13" s="11" t="s">
        <v>57</v>
      </c>
      <c r="F13" s="9" t="s">
        <v>729</v>
      </c>
    </row>
    <row r="14" customFormat="false" ht="15" hidden="false" customHeight="false" outlineLevel="0" collapsed="false">
      <c r="A14" s="9" t="s">
        <v>730</v>
      </c>
      <c r="B14" s="9" t="s">
        <v>731</v>
      </c>
      <c r="C14" s="9" t="s">
        <v>732</v>
      </c>
      <c r="D14" s="9" t="s">
        <v>728</v>
      </c>
      <c r="E14" s="11" t="s">
        <v>57</v>
      </c>
      <c r="F14" s="9" t="s">
        <v>733</v>
      </c>
    </row>
    <row r="15" customFormat="false" ht="15" hidden="false" customHeight="false" outlineLevel="0" collapsed="false">
      <c r="A15" s="9" t="s">
        <v>734</v>
      </c>
      <c r="B15" s="9" t="s">
        <v>735</v>
      </c>
      <c r="C15" s="9" t="s">
        <v>736</v>
      </c>
      <c r="D15" s="9" t="s">
        <v>737</v>
      </c>
      <c r="E15" s="11" t="s">
        <v>57</v>
      </c>
      <c r="F15" s="9" t="s">
        <v>738</v>
      </c>
    </row>
    <row r="16" customFormat="false" ht="23.85" hidden="false" customHeight="false" outlineLevel="0" collapsed="false">
      <c r="A16" s="9" t="s">
        <v>739</v>
      </c>
      <c r="B16" s="9" t="s">
        <v>740</v>
      </c>
      <c r="C16" s="9" t="s">
        <v>741</v>
      </c>
      <c r="D16" s="9" t="s">
        <v>742</v>
      </c>
      <c r="E16" s="11" t="s">
        <v>57</v>
      </c>
      <c r="F16" s="9" t="s">
        <v>743</v>
      </c>
    </row>
    <row r="17" customFormat="false" ht="15" hidden="false" customHeight="false" outlineLevel="0" collapsed="false">
      <c r="A17" s="9" t="s">
        <v>744</v>
      </c>
      <c r="B17" s="9" t="s">
        <v>745</v>
      </c>
      <c r="C17" s="9" t="s">
        <v>746</v>
      </c>
      <c r="D17" s="9" t="s">
        <v>747</v>
      </c>
      <c r="E17" s="12" t="s">
        <v>80</v>
      </c>
      <c r="F17" s="9" t="s">
        <v>748</v>
      </c>
    </row>
    <row r="18" customFormat="false" ht="15" hidden="false" customHeight="false" outlineLevel="0" collapsed="false">
      <c r="A18" s="9" t="s">
        <v>749</v>
      </c>
      <c r="B18" s="9" t="s">
        <v>750</v>
      </c>
      <c r="C18" s="9" t="s">
        <v>751</v>
      </c>
      <c r="D18" s="9" t="s">
        <v>752</v>
      </c>
      <c r="E18" s="12" t="s">
        <v>80</v>
      </c>
      <c r="F18" s="9" t="s">
        <v>753</v>
      </c>
    </row>
    <row r="19" customFormat="false" ht="15" hidden="false" customHeight="false" outlineLevel="0" collapsed="false">
      <c r="A19" s="9" t="s">
        <v>754</v>
      </c>
      <c r="B19" s="9" t="s">
        <v>755</v>
      </c>
      <c r="C19" s="9" t="s">
        <v>756</v>
      </c>
      <c r="D19" s="9" t="s">
        <v>757</v>
      </c>
      <c r="E19" s="12" t="s">
        <v>80</v>
      </c>
      <c r="F19" s="9" t="s">
        <v>758</v>
      </c>
    </row>
    <row r="20" customFormat="false" ht="15" hidden="false" customHeight="false" outlineLevel="0" collapsed="false">
      <c r="A20" s="9" t="s">
        <v>759</v>
      </c>
      <c r="B20" s="9" t="s">
        <v>760</v>
      </c>
      <c r="C20" s="9" t="s">
        <v>761</v>
      </c>
      <c r="D20" s="9" t="s">
        <v>728</v>
      </c>
      <c r="E20" s="10" t="s">
        <v>41</v>
      </c>
      <c r="F20" s="9" t="s">
        <v>762</v>
      </c>
    </row>
    <row r="21" customFormat="false" ht="15" hidden="false" customHeight="false" outlineLevel="0" collapsed="false">
      <c r="A21" s="9" t="s">
        <v>763</v>
      </c>
      <c r="B21" s="9" t="s">
        <v>764</v>
      </c>
      <c r="C21" s="9" t="s">
        <v>765</v>
      </c>
      <c r="D21" s="9" t="s">
        <v>766</v>
      </c>
      <c r="E21" s="11" t="s">
        <v>57</v>
      </c>
      <c r="F21" s="9" t="s">
        <v>767</v>
      </c>
    </row>
    <row r="22" customFormat="false" ht="15" hidden="false" customHeight="false" outlineLevel="0" collapsed="false">
      <c r="A22" s="9" t="s">
        <v>768</v>
      </c>
      <c r="B22" s="9" t="s">
        <v>769</v>
      </c>
      <c r="C22" s="9" t="s">
        <v>770</v>
      </c>
      <c r="D22" s="9" t="s">
        <v>714</v>
      </c>
      <c r="E22" s="11" t="s">
        <v>57</v>
      </c>
      <c r="F22" s="9" t="s">
        <v>771</v>
      </c>
    </row>
    <row r="23" customFormat="false" ht="15" hidden="false" customHeight="false" outlineLevel="0" collapsed="false">
      <c r="A23" s="9" t="s">
        <v>772</v>
      </c>
      <c r="B23" s="9" t="s">
        <v>773</v>
      </c>
      <c r="C23" s="9" t="s">
        <v>774</v>
      </c>
      <c r="D23" s="9" t="s">
        <v>714</v>
      </c>
      <c r="E23" s="11" t="s">
        <v>57</v>
      </c>
      <c r="F23" s="9" t="s">
        <v>775</v>
      </c>
    </row>
    <row r="24" customFormat="false" ht="15" hidden="false" customHeight="false" outlineLevel="0" collapsed="false">
      <c r="A24" s="9" t="s">
        <v>776</v>
      </c>
      <c r="B24" s="9" t="s">
        <v>777</v>
      </c>
      <c r="C24" s="9" t="s">
        <v>778</v>
      </c>
      <c r="D24" s="9" t="s">
        <v>714</v>
      </c>
      <c r="E24" s="12" t="s">
        <v>80</v>
      </c>
      <c r="F24" s="9" t="s">
        <v>779</v>
      </c>
    </row>
    <row r="25" customFormat="false" ht="15" hidden="false" customHeight="false" outlineLevel="0" collapsed="false">
      <c r="A25" s="9" t="s">
        <v>780</v>
      </c>
      <c r="B25" s="9" t="s">
        <v>781</v>
      </c>
      <c r="C25" s="9" t="s">
        <v>782</v>
      </c>
      <c r="D25" s="9" t="s">
        <v>783</v>
      </c>
      <c r="E25" s="10" t="s">
        <v>41</v>
      </c>
      <c r="F25" s="9" t="s">
        <v>784</v>
      </c>
    </row>
    <row r="26" customFormat="false" ht="15" hidden="false" customHeight="false" outlineLevel="0" collapsed="false">
      <c r="A26" s="9" t="s">
        <v>785</v>
      </c>
      <c r="B26" s="9" t="s">
        <v>786</v>
      </c>
      <c r="C26" s="9" t="s">
        <v>787</v>
      </c>
      <c r="D26" s="9" t="s">
        <v>783</v>
      </c>
      <c r="E26" s="12" t="s">
        <v>80</v>
      </c>
      <c r="F26" s="9" t="s">
        <v>788</v>
      </c>
    </row>
    <row r="27" customFormat="false" ht="15" hidden="false" customHeight="false" outlineLevel="0" collapsed="false">
      <c r="A27" s="9" t="s">
        <v>789</v>
      </c>
      <c r="B27" s="9" t="s">
        <v>790</v>
      </c>
      <c r="C27" s="9" t="s">
        <v>791</v>
      </c>
      <c r="D27" s="9" t="s">
        <v>766</v>
      </c>
      <c r="E27" s="11" t="s">
        <v>57</v>
      </c>
      <c r="F27" s="9" t="s">
        <v>792</v>
      </c>
    </row>
    <row r="28" customFormat="false" ht="15" hidden="false" customHeight="false" outlineLevel="0" collapsed="false">
      <c r="A28" s="9" t="s">
        <v>793</v>
      </c>
      <c r="B28" s="9" t="s">
        <v>794</v>
      </c>
      <c r="C28" s="9" t="s">
        <v>795</v>
      </c>
      <c r="D28" s="9" t="s">
        <v>796</v>
      </c>
      <c r="E28" s="12" t="s">
        <v>80</v>
      </c>
      <c r="F28" s="9" t="s">
        <v>797</v>
      </c>
    </row>
    <row r="29" customFormat="false" ht="15" hidden="false" customHeight="false" outlineLevel="0" collapsed="false">
      <c r="A29" s="9" t="s">
        <v>798</v>
      </c>
      <c r="B29" s="9" t="s">
        <v>799</v>
      </c>
      <c r="C29" s="9" t="s">
        <v>800</v>
      </c>
      <c r="D29" s="9" t="s">
        <v>801</v>
      </c>
      <c r="E29" s="13" t="s">
        <v>164</v>
      </c>
      <c r="F29" s="9" t="s">
        <v>802</v>
      </c>
    </row>
    <row r="30" customFormat="false" ht="15" hidden="false" customHeight="false" outlineLevel="0" collapsed="false">
      <c r="A30" s="9" t="s">
        <v>803</v>
      </c>
      <c r="B30" s="9" t="s">
        <v>804</v>
      </c>
      <c r="C30" s="9" t="s">
        <v>805</v>
      </c>
      <c r="D30" s="9" t="s">
        <v>806</v>
      </c>
      <c r="E30" s="11" t="s">
        <v>57</v>
      </c>
      <c r="F30" s="9" t="s">
        <v>807</v>
      </c>
    </row>
    <row r="31" customFormat="false" ht="15" hidden="false" customHeight="false" outlineLevel="0" collapsed="false">
      <c r="A31" s="9" t="s">
        <v>808</v>
      </c>
      <c r="B31" s="9" t="s">
        <v>809</v>
      </c>
      <c r="C31" s="9" t="s">
        <v>810</v>
      </c>
      <c r="D31" s="9" t="s">
        <v>811</v>
      </c>
      <c r="E31" s="11" t="s">
        <v>57</v>
      </c>
      <c r="F31" s="9" t="s">
        <v>812</v>
      </c>
    </row>
    <row r="32" customFormat="false" ht="15" hidden="false" customHeight="false" outlineLevel="0" collapsed="false">
      <c r="A32" s="9" t="s">
        <v>813</v>
      </c>
      <c r="B32" s="9" t="s">
        <v>814</v>
      </c>
      <c r="C32" s="9" t="s">
        <v>815</v>
      </c>
      <c r="D32" s="9" t="s">
        <v>816</v>
      </c>
      <c r="E32" s="11" t="s">
        <v>57</v>
      </c>
      <c r="F32" s="9" t="s">
        <v>817</v>
      </c>
    </row>
    <row r="33" customFormat="false" ht="15" hidden="false" customHeight="false" outlineLevel="0" collapsed="false">
      <c r="A33" s="9" t="s">
        <v>818</v>
      </c>
      <c r="B33" s="9" t="s">
        <v>819</v>
      </c>
      <c r="C33" s="9" t="s">
        <v>820</v>
      </c>
      <c r="D33" s="9" t="s">
        <v>816</v>
      </c>
      <c r="E33" s="11" t="s">
        <v>57</v>
      </c>
      <c r="F33" s="9" t="s">
        <v>821</v>
      </c>
    </row>
    <row r="34" customFormat="false" ht="15" hidden="false" customHeight="false" outlineLevel="0" collapsed="false">
      <c r="A34" s="9" t="s">
        <v>822</v>
      </c>
      <c r="B34" s="9" t="s">
        <v>823</v>
      </c>
      <c r="C34" s="9" t="s">
        <v>824</v>
      </c>
      <c r="D34" s="9" t="s">
        <v>709</v>
      </c>
      <c r="E34" s="12" t="s">
        <v>80</v>
      </c>
      <c r="F34" s="9" t="s">
        <v>825</v>
      </c>
    </row>
  </sheetData>
  <autoFilter ref="A4:F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8" t="s">
        <v>826</v>
      </c>
      <c r="B1" s="18" t="s">
        <v>827</v>
      </c>
      <c r="C1" s="18" t="s">
        <v>828</v>
      </c>
      <c r="D1" s="18" t="s">
        <v>829</v>
      </c>
    </row>
    <row r="2" customFormat="false" ht="15" hidden="false" customHeight="false" outlineLevel="0" collapsed="false">
      <c r="A2" s="9" t="s">
        <v>830</v>
      </c>
      <c r="B2" s="9" t="s">
        <v>323</v>
      </c>
      <c r="C2" s="9" t="s">
        <v>831</v>
      </c>
      <c r="D2" s="9" t="s">
        <v>832</v>
      </c>
    </row>
    <row r="3" customFormat="false" ht="15" hidden="false" customHeight="false" outlineLevel="0" collapsed="false">
      <c r="A3" s="9" t="s">
        <v>833</v>
      </c>
      <c r="B3" s="9" t="s">
        <v>35</v>
      </c>
      <c r="C3" s="9" t="s">
        <v>834</v>
      </c>
      <c r="D3" s="9" t="s">
        <v>835</v>
      </c>
    </row>
    <row r="4" customFormat="false" ht="15" hidden="false" customHeight="false" outlineLevel="0" collapsed="false">
      <c r="A4" s="9" t="s">
        <v>836</v>
      </c>
      <c r="B4" s="9" t="s">
        <v>84</v>
      </c>
      <c r="C4" s="9" t="s">
        <v>837</v>
      </c>
      <c r="D4" s="9" t="s">
        <v>838</v>
      </c>
    </row>
    <row r="5" customFormat="false" ht="15" hidden="false" customHeight="false" outlineLevel="0" collapsed="false">
      <c r="A5" s="9" t="s">
        <v>839</v>
      </c>
      <c r="B5" s="9" t="s">
        <v>144</v>
      </c>
      <c r="C5" s="9" t="s">
        <v>840</v>
      </c>
      <c r="D5" s="9" t="s">
        <v>841</v>
      </c>
    </row>
    <row r="6" customFormat="false" ht="15" hidden="false" customHeight="false" outlineLevel="0" collapsed="false">
      <c r="A6" s="9" t="s">
        <v>842</v>
      </c>
      <c r="B6" s="9" t="s">
        <v>169</v>
      </c>
      <c r="C6" s="9" t="s">
        <v>843</v>
      </c>
      <c r="D6" s="9" t="s">
        <v>844</v>
      </c>
    </row>
    <row r="7" customFormat="false" ht="15" hidden="false" customHeight="false" outlineLevel="0" collapsed="false">
      <c r="A7" s="9" t="s">
        <v>845</v>
      </c>
      <c r="B7" s="9" t="s">
        <v>196</v>
      </c>
      <c r="C7" s="9" t="s">
        <v>846</v>
      </c>
      <c r="D7" s="9" t="s">
        <v>847</v>
      </c>
    </row>
    <row r="8" customFormat="false" ht="15" hidden="false" customHeight="false" outlineLevel="0" collapsed="false">
      <c r="A8" s="9" t="s">
        <v>848</v>
      </c>
      <c r="B8" s="9" t="s">
        <v>238</v>
      </c>
      <c r="C8" s="9" t="s">
        <v>849</v>
      </c>
      <c r="D8" s="9" t="s">
        <v>670</v>
      </c>
    </row>
    <row r="9" customFormat="false" ht="15" hidden="false" customHeight="false" outlineLevel="0" collapsed="false">
      <c r="A9" s="9" t="s">
        <v>850</v>
      </c>
      <c r="B9" s="9" t="s">
        <v>354</v>
      </c>
      <c r="C9" s="9" t="s">
        <v>851</v>
      </c>
      <c r="D9" s="9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8" t="s">
        <v>853</v>
      </c>
      <c r="B1" s="18" t="s">
        <v>854</v>
      </c>
      <c r="C1" s="18" t="s">
        <v>14</v>
      </c>
      <c r="D1" s="18" t="s">
        <v>855</v>
      </c>
      <c r="E1" s="18" t="s">
        <v>856</v>
      </c>
    </row>
    <row r="2" customFormat="false" ht="15" hidden="false" customHeight="false" outlineLevel="0" collapsed="false">
      <c r="A2" s="9" t="s">
        <v>857</v>
      </c>
      <c r="B2" s="9" t="s">
        <v>858</v>
      </c>
      <c r="C2" s="9" t="s">
        <v>323</v>
      </c>
      <c r="D2" s="9" t="s">
        <v>321</v>
      </c>
      <c r="E2" s="9" t="n">
        <v>8</v>
      </c>
    </row>
    <row r="3" customFormat="false" ht="15" hidden="false" customHeight="false" outlineLevel="0" collapsed="false">
      <c r="A3" s="9" t="s">
        <v>859</v>
      </c>
      <c r="B3" s="9" t="s">
        <v>860</v>
      </c>
      <c r="C3" s="9" t="s">
        <v>323</v>
      </c>
      <c r="D3" s="9" t="s">
        <v>337</v>
      </c>
      <c r="E3" s="9" t="n">
        <v>8</v>
      </c>
    </row>
    <row r="4" customFormat="false" ht="15" hidden="false" customHeight="false" outlineLevel="0" collapsed="false">
      <c r="A4" s="9" t="s">
        <v>861</v>
      </c>
      <c r="B4" s="9" t="s">
        <v>862</v>
      </c>
      <c r="C4" s="9" t="s">
        <v>323</v>
      </c>
      <c r="D4" s="9" t="s">
        <v>863</v>
      </c>
      <c r="E4" s="9" t="n">
        <v>99</v>
      </c>
    </row>
    <row r="5" customFormat="false" ht="15" hidden="false" customHeight="false" outlineLevel="0" collapsed="false">
      <c r="A5" s="9" t="s">
        <v>864</v>
      </c>
      <c r="B5" s="9" t="s">
        <v>865</v>
      </c>
      <c r="C5" s="9" t="s">
        <v>84</v>
      </c>
      <c r="D5" s="9" t="s">
        <v>866</v>
      </c>
      <c r="E5" s="9" t="n">
        <v>8</v>
      </c>
    </row>
    <row r="6" customFormat="false" ht="15" hidden="false" customHeight="false" outlineLevel="0" collapsed="false">
      <c r="A6" s="9" t="s">
        <v>867</v>
      </c>
      <c r="B6" s="9" t="s">
        <v>868</v>
      </c>
      <c r="C6" s="9" t="s">
        <v>84</v>
      </c>
      <c r="D6" s="9" t="s">
        <v>82</v>
      </c>
      <c r="E6" s="9" t="n">
        <v>8</v>
      </c>
    </row>
    <row r="7" customFormat="false" ht="15" hidden="false" customHeight="false" outlineLevel="0" collapsed="false">
      <c r="A7" s="9" t="s">
        <v>869</v>
      </c>
      <c r="B7" s="9" t="s">
        <v>870</v>
      </c>
      <c r="C7" s="9" t="s">
        <v>84</v>
      </c>
      <c r="D7" s="9" t="s">
        <v>112</v>
      </c>
      <c r="E7" s="9" t="n">
        <v>8</v>
      </c>
    </row>
    <row r="8" customFormat="false" ht="15" hidden="false" customHeight="false" outlineLevel="0" collapsed="false">
      <c r="A8" s="9" t="s">
        <v>871</v>
      </c>
      <c r="B8" s="9" t="s">
        <v>872</v>
      </c>
      <c r="C8" s="9" t="s">
        <v>84</v>
      </c>
      <c r="D8" s="9" t="s">
        <v>112</v>
      </c>
      <c r="E8" s="9" t="n">
        <v>8</v>
      </c>
    </row>
    <row r="9" customFormat="false" ht="15" hidden="false" customHeight="false" outlineLevel="0" collapsed="false">
      <c r="A9" s="9" t="s">
        <v>873</v>
      </c>
      <c r="B9" s="9" t="s">
        <v>874</v>
      </c>
      <c r="C9" s="9" t="s">
        <v>84</v>
      </c>
      <c r="D9" s="9" t="s">
        <v>121</v>
      </c>
      <c r="E9" s="9" t="n">
        <v>8</v>
      </c>
    </row>
    <row r="10" customFormat="false" ht="15" hidden="false" customHeight="false" outlineLevel="0" collapsed="false">
      <c r="A10" s="9" t="s">
        <v>875</v>
      </c>
      <c r="B10" s="9" t="s">
        <v>876</v>
      </c>
      <c r="C10" s="9" t="s">
        <v>84</v>
      </c>
      <c r="D10" s="9" t="s">
        <v>128</v>
      </c>
      <c r="E10" s="9" t="n">
        <v>8</v>
      </c>
    </row>
    <row r="11" customFormat="false" ht="15" hidden="false" customHeight="false" outlineLevel="0" collapsed="false">
      <c r="A11" s="9" t="s">
        <v>877</v>
      </c>
      <c r="B11" s="9" t="s">
        <v>878</v>
      </c>
      <c r="C11" s="9" t="s">
        <v>144</v>
      </c>
      <c r="D11" s="9" t="s">
        <v>879</v>
      </c>
      <c r="E11" s="9" t="n">
        <v>99</v>
      </c>
    </row>
    <row r="12" customFormat="false" ht="15" hidden="false" customHeight="false" outlineLevel="0" collapsed="false">
      <c r="A12" s="9" t="s">
        <v>880</v>
      </c>
      <c r="B12" s="9" t="s">
        <v>881</v>
      </c>
      <c r="C12" s="9" t="s">
        <v>144</v>
      </c>
      <c r="D12" s="9" t="s">
        <v>142</v>
      </c>
      <c r="E12" s="9" t="n">
        <v>99</v>
      </c>
    </row>
    <row r="13" customFormat="false" ht="15" hidden="false" customHeight="false" outlineLevel="0" collapsed="false">
      <c r="A13" s="9" t="s">
        <v>882</v>
      </c>
      <c r="B13" s="9" t="s">
        <v>883</v>
      </c>
      <c r="C13" s="9" t="s">
        <v>169</v>
      </c>
      <c r="D13" s="9" t="s">
        <v>175</v>
      </c>
      <c r="E13" s="9" t="n">
        <v>99</v>
      </c>
    </row>
    <row r="14" customFormat="false" ht="15" hidden="false" customHeight="false" outlineLevel="0" collapsed="false">
      <c r="A14" s="9" t="s">
        <v>884</v>
      </c>
      <c r="B14" s="9" t="s">
        <v>885</v>
      </c>
      <c r="C14" s="9" t="s">
        <v>169</v>
      </c>
      <c r="D14" s="9" t="s">
        <v>167</v>
      </c>
      <c r="E14" s="9" t="n">
        <v>99</v>
      </c>
    </row>
    <row r="15" customFormat="false" ht="15" hidden="false" customHeight="false" outlineLevel="0" collapsed="false">
      <c r="A15" s="9" t="s">
        <v>886</v>
      </c>
      <c r="B15" s="9" t="s">
        <v>887</v>
      </c>
      <c r="C15" s="9" t="s">
        <v>169</v>
      </c>
      <c r="D15" s="9" t="s">
        <v>167</v>
      </c>
      <c r="E15" s="9" t="n">
        <v>99</v>
      </c>
    </row>
    <row r="16" customFormat="false" ht="15" hidden="false" customHeight="false" outlineLevel="0" collapsed="false">
      <c r="A16" s="9" t="s">
        <v>888</v>
      </c>
      <c r="B16" s="9" t="s">
        <v>889</v>
      </c>
      <c r="C16" s="9" t="s">
        <v>169</v>
      </c>
      <c r="D16" s="9" t="s">
        <v>181</v>
      </c>
      <c r="E16" s="9" t="n">
        <v>99</v>
      </c>
    </row>
    <row r="17" customFormat="false" ht="15" hidden="false" customHeight="false" outlineLevel="0" collapsed="false">
      <c r="A17" s="9" t="s">
        <v>890</v>
      </c>
      <c r="B17" s="9" t="s">
        <v>891</v>
      </c>
      <c r="C17" s="9" t="s">
        <v>169</v>
      </c>
      <c r="D17" s="9" t="s">
        <v>181</v>
      </c>
      <c r="E17" s="9" t="n">
        <v>99</v>
      </c>
    </row>
    <row r="18" customFormat="false" ht="15" hidden="false" customHeight="false" outlineLevel="0" collapsed="false">
      <c r="A18" s="9" t="s">
        <v>892</v>
      </c>
      <c r="B18" s="9" t="s">
        <v>893</v>
      </c>
      <c r="C18" s="9" t="s">
        <v>169</v>
      </c>
      <c r="D18" s="9" t="s">
        <v>396</v>
      </c>
      <c r="E18" s="9" t="n">
        <v>99</v>
      </c>
    </row>
    <row r="19" customFormat="false" ht="15" hidden="false" customHeight="false" outlineLevel="0" collapsed="false">
      <c r="A19" s="9" t="s">
        <v>894</v>
      </c>
      <c r="B19" s="9" t="s">
        <v>895</v>
      </c>
      <c r="C19" s="9" t="s">
        <v>169</v>
      </c>
      <c r="D19" s="9" t="s">
        <v>896</v>
      </c>
      <c r="E19" s="9" t="n">
        <v>99</v>
      </c>
    </row>
    <row r="20" customFormat="false" ht="15" hidden="false" customHeight="false" outlineLevel="0" collapsed="false">
      <c r="A20" s="9" t="s">
        <v>897</v>
      </c>
      <c r="B20" s="9" t="s">
        <v>898</v>
      </c>
      <c r="C20" s="9" t="s">
        <v>35</v>
      </c>
      <c r="D20" s="9" t="s">
        <v>51</v>
      </c>
      <c r="E20" s="9" t="n">
        <v>8</v>
      </c>
    </row>
    <row r="21" customFormat="false" ht="15" hidden="false" customHeight="false" outlineLevel="0" collapsed="false">
      <c r="A21" s="9" t="s">
        <v>899</v>
      </c>
      <c r="B21" s="9" t="s">
        <v>900</v>
      </c>
      <c r="C21" s="9" t="s">
        <v>35</v>
      </c>
      <c r="D21" s="9" t="s">
        <v>33</v>
      </c>
      <c r="E21" s="9" t="n">
        <v>99</v>
      </c>
    </row>
    <row r="22" customFormat="false" ht="15" hidden="false" customHeight="false" outlineLevel="0" collapsed="false">
      <c r="A22" s="9" t="s">
        <v>901</v>
      </c>
      <c r="B22" s="9" t="s">
        <v>902</v>
      </c>
      <c r="C22" s="9" t="s">
        <v>35</v>
      </c>
      <c r="D22" s="9" t="s">
        <v>44</v>
      </c>
      <c r="E22" s="9" t="n">
        <v>99</v>
      </c>
    </row>
    <row r="23" customFormat="false" ht="15" hidden="false" customHeight="false" outlineLevel="0" collapsed="false">
      <c r="A23" s="9" t="s">
        <v>903</v>
      </c>
      <c r="B23" s="9" t="s">
        <v>904</v>
      </c>
      <c r="C23" s="9" t="s">
        <v>35</v>
      </c>
      <c r="D23" s="9" t="s">
        <v>60</v>
      </c>
      <c r="E23" s="9" t="n">
        <v>99</v>
      </c>
    </row>
    <row r="24" customFormat="false" ht="15" hidden="false" customHeight="false" outlineLevel="0" collapsed="false">
      <c r="A24" s="9" t="s">
        <v>905</v>
      </c>
      <c r="B24" s="9" t="s">
        <v>906</v>
      </c>
      <c r="C24" s="9" t="s">
        <v>196</v>
      </c>
      <c r="D24" s="9" t="s">
        <v>194</v>
      </c>
      <c r="E24" s="9" t="n">
        <v>8</v>
      </c>
    </row>
    <row r="25" customFormat="false" ht="15" hidden="false" customHeight="false" outlineLevel="0" collapsed="false">
      <c r="A25" s="9" t="s">
        <v>907</v>
      </c>
      <c r="B25" s="9" t="s">
        <v>908</v>
      </c>
      <c r="C25" s="9" t="s">
        <v>196</v>
      </c>
      <c r="D25" s="9" t="s">
        <v>203</v>
      </c>
      <c r="E25" s="9" t="n">
        <v>8</v>
      </c>
    </row>
    <row r="26" customFormat="false" ht="15" hidden="false" customHeight="false" outlineLevel="0" collapsed="false">
      <c r="A26" s="9" t="s">
        <v>909</v>
      </c>
      <c r="B26" s="9" t="s">
        <v>910</v>
      </c>
      <c r="C26" s="9" t="s">
        <v>196</v>
      </c>
      <c r="D26" s="9" t="s">
        <v>227</v>
      </c>
      <c r="E26" s="9" t="n">
        <v>99</v>
      </c>
    </row>
    <row r="27" customFormat="false" ht="15" hidden="false" customHeight="false" outlineLevel="0" collapsed="false">
      <c r="A27" s="9" t="s">
        <v>911</v>
      </c>
      <c r="B27" s="9" t="s">
        <v>912</v>
      </c>
      <c r="C27" s="9" t="s">
        <v>238</v>
      </c>
      <c r="D27" s="9" t="s">
        <v>236</v>
      </c>
      <c r="E27" s="9" t="n">
        <v>5</v>
      </c>
    </row>
    <row r="28" customFormat="false" ht="15" hidden="false" customHeight="false" outlineLevel="0" collapsed="false">
      <c r="A28" s="9" t="s">
        <v>913</v>
      </c>
      <c r="B28" s="9" t="s">
        <v>247</v>
      </c>
      <c r="C28" s="9" t="s">
        <v>238</v>
      </c>
      <c r="D28" s="9" t="s">
        <v>246</v>
      </c>
      <c r="E28" s="9" t="n">
        <v>3</v>
      </c>
    </row>
    <row r="29" customFormat="false" ht="15" hidden="false" customHeight="false" outlineLevel="0" collapsed="false">
      <c r="A29" s="9" t="s">
        <v>914</v>
      </c>
      <c r="B29" s="9" t="s">
        <v>255</v>
      </c>
      <c r="C29" s="9" t="s">
        <v>238</v>
      </c>
      <c r="D29" s="9" t="s">
        <v>254</v>
      </c>
      <c r="E29" s="9" t="n">
        <v>3</v>
      </c>
    </row>
    <row r="30" customFormat="false" ht="15" hidden="false" customHeight="false" outlineLevel="0" collapsed="false">
      <c r="A30" s="9" t="s">
        <v>915</v>
      </c>
      <c r="B30" s="9" t="s">
        <v>260</v>
      </c>
      <c r="C30" s="9" t="s">
        <v>238</v>
      </c>
      <c r="D30" s="9" t="s">
        <v>259</v>
      </c>
      <c r="E30" s="9" t="n">
        <v>2</v>
      </c>
    </row>
    <row r="31" customFormat="false" ht="15" hidden="false" customHeight="false" outlineLevel="0" collapsed="false">
      <c r="A31" s="9" t="s">
        <v>916</v>
      </c>
      <c r="B31" s="9" t="s">
        <v>917</v>
      </c>
      <c r="C31" s="9" t="s">
        <v>238</v>
      </c>
      <c r="D31" s="9" t="s">
        <v>265</v>
      </c>
      <c r="E31" s="9" t="n">
        <v>99</v>
      </c>
    </row>
    <row r="32" customFormat="false" ht="15" hidden="false" customHeight="false" outlineLevel="0" collapsed="false">
      <c r="A32" s="9" t="s">
        <v>918</v>
      </c>
      <c r="B32" s="9" t="s">
        <v>919</v>
      </c>
      <c r="C32" s="9" t="s">
        <v>238</v>
      </c>
      <c r="D32" s="9" t="s">
        <v>274</v>
      </c>
      <c r="E32" s="9" t="n">
        <v>5</v>
      </c>
    </row>
    <row r="33" customFormat="false" ht="15" hidden="false" customHeight="false" outlineLevel="0" collapsed="false">
      <c r="A33" s="9" t="s">
        <v>920</v>
      </c>
      <c r="B33" s="9" t="s">
        <v>921</v>
      </c>
      <c r="C33" s="9" t="s">
        <v>238</v>
      </c>
      <c r="D33" s="9" t="s">
        <v>282</v>
      </c>
      <c r="E33" s="9" t="n">
        <v>3</v>
      </c>
    </row>
    <row r="34" customFormat="false" ht="15" hidden="false" customHeight="false" outlineLevel="0" collapsed="false">
      <c r="A34" s="9" t="s">
        <v>922</v>
      </c>
      <c r="B34" s="9" t="s">
        <v>923</v>
      </c>
      <c r="C34" s="9" t="s">
        <v>238</v>
      </c>
      <c r="D34" s="9" t="s">
        <v>306</v>
      </c>
      <c r="E34" s="9" t="n">
        <v>5</v>
      </c>
    </row>
    <row r="35" customFormat="false" ht="15" hidden="false" customHeight="false" outlineLevel="0" collapsed="false">
      <c r="A35" s="9" t="s">
        <v>924</v>
      </c>
      <c r="B35" s="9" t="s">
        <v>650</v>
      </c>
      <c r="C35" s="9" t="s">
        <v>238</v>
      </c>
      <c r="D35" s="9" t="s">
        <v>313</v>
      </c>
      <c r="E35" s="9" t="n">
        <v>1</v>
      </c>
    </row>
    <row r="36" customFormat="false" ht="15" hidden="false" customHeight="false" outlineLevel="0" collapsed="false">
      <c r="A36" s="9" t="s">
        <v>925</v>
      </c>
      <c r="B36" s="9" t="s">
        <v>926</v>
      </c>
      <c r="C36" s="9" t="s">
        <v>354</v>
      </c>
      <c r="D36" s="9" t="s">
        <v>352</v>
      </c>
      <c r="E36" s="9" t="n">
        <v>99</v>
      </c>
    </row>
    <row r="37" customFormat="false" ht="15" hidden="false" customHeight="false" outlineLevel="0" collapsed="false">
      <c r="A37" s="9" t="s">
        <v>927</v>
      </c>
      <c r="B37" s="9" t="s">
        <v>928</v>
      </c>
      <c r="C37" s="9" t="s">
        <v>354</v>
      </c>
      <c r="D37" s="9" t="s">
        <v>929</v>
      </c>
      <c r="E37" s="9" t="n">
        <v>99</v>
      </c>
    </row>
    <row r="38" customFormat="false" ht="15" hidden="false" customHeight="false" outlineLevel="0" collapsed="false">
      <c r="A38" s="9" t="s">
        <v>930</v>
      </c>
      <c r="B38" s="9" t="s">
        <v>931</v>
      </c>
      <c r="C38" s="9" t="s">
        <v>354</v>
      </c>
      <c r="D38" s="9" t="s">
        <v>932</v>
      </c>
      <c r="E38" s="9" t="n">
        <v>99</v>
      </c>
    </row>
    <row r="39" customFormat="false" ht="15" hidden="false" customHeight="false" outlineLevel="0" collapsed="false">
      <c r="A39" s="9" t="s">
        <v>933</v>
      </c>
      <c r="B39" s="9" t="s">
        <v>934</v>
      </c>
      <c r="C39" s="9" t="s">
        <v>935</v>
      </c>
      <c r="D39" s="9" t="s">
        <v>427</v>
      </c>
      <c r="E39" s="9" t="n">
        <v>8</v>
      </c>
    </row>
    <row r="40" customFormat="false" ht="15" hidden="false" customHeight="false" outlineLevel="0" collapsed="false">
      <c r="A40" s="9" t="s">
        <v>936</v>
      </c>
      <c r="B40" s="9" t="s">
        <v>937</v>
      </c>
      <c r="C40" s="9" t="s">
        <v>935</v>
      </c>
      <c r="D40" s="9" t="s">
        <v>427</v>
      </c>
      <c r="E40" s="9" t="n">
        <v>8</v>
      </c>
    </row>
    <row r="41" customFormat="false" ht="15" hidden="false" customHeight="false" outlineLevel="0" collapsed="false">
      <c r="A41" s="9" t="s">
        <v>938</v>
      </c>
      <c r="B41" s="9" t="s">
        <v>939</v>
      </c>
      <c r="C41" s="9" t="s">
        <v>935</v>
      </c>
      <c r="D41" s="9" t="s">
        <v>427</v>
      </c>
      <c r="E41" s="9" t="n">
        <v>8</v>
      </c>
    </row>
    <row r="42" customFormat="false" ht="15" hidden="false" customHeight="false" outlineLevel="0" collapsed="false">
      <c r="A42" s="9" t="s">
        <v>940</v>
      </c>
      <c r="B42" s="9" t="s">
        <v>941</v>
      </c>
      <c r="C42" s="9" t="s">
        <v>935</v>
      </c>
      <c r="D42" s="9" t="s">
        <v>427</v>
      </c>
      <c r="E42" s="9" t="n">
        <v>8</v>
      </c>
    </row>
    <row r="43" customFormat="false" ht="15" hidden="false" customHeight="false" outlineLevel="0" collapsed="false">
      <c r="A43" s="9" t="s">
        <v>942</v>
      </c>
      <c r="B43" s="9" t="s">
        <v>943</v>
      </c>
      <c r="C43" s="9" t="s">
        <v>169</v>
      </c>
      <c r="D43" s="9" t="s">
        <v>388</v>
      </c>
      <c r="E43" s="9" t="n">
        <v>8</v>
      </c>
    </row>
  </sheetData>
  <autoFilter ref="A1:E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2026-05-06T19:16:21Z</dcterms:created>
  <dc:creator>openpyxl</dc:creator>
  <dc:description/>
  <dc:language>en-US</dc:language>
  <cp:lastModifiedBy/>
  <dcterms:modified xsi:type="dcterms:W3CDTF">2026-05-06T19:16:22Z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